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-me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Conditions" sheetId="4" state="visible" r:id="rId4"/>
    <sheet xmlns:r="http://schemas.openxmlformats.org/officeDocument/2006/relationships" name="Cases" sheetId="5" state="visible" r:id="rId5"/>
    <sheet xmlns:r="http://schemas.openxmlformats.org/officeDocument/2006/relationships" name="Defects" sheetId="6" state="visible" r:id="rId6"/>
    <sheet xmlns:r="http://schemas.openxmlformats.org/officeDocument/2006/relationships" name="Traceability" sheetId="7" state="visible" r:id="rId7"/>
    <sheet xmlns:r="http://schemas.openxmlformats.org/officeDocument/2006/relationships" name="Execution 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color rgb="00333333"/>
      <sz val="9"/>
    </font>
    <font>
      <name val="Arial"/>
      <b val="1"/>
      <color rgb="00E1058C"/>
      <sz val="15"/>
    </font>
    <font>
      <name val="Arial"/>
      <i val="1"/>
      <color rgb="006B6B6B"/>
      <sz val="9"/>
    </font>
    <font>
      <name val="Arial"/>
      <b val="1"/>
      <color rgb="00333333"/>
      <sz val="10"/>
    </font>
    <font>
      <name val="Arial"/>
      <color rgb="00333333"/>
      <sz val="10"/>
    </font>
    <font>
      <name val="Arial"/>
      <b val="1"/>
      <color rgb="00F58220"/>
      <sz val="11"/>
    </font>
    <font>
      <name val="Arial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E1058C"/>
      </patternFill>
    </fill>
    <fill>
      <patternFill patternType="solid">
        <fgColor rgb="00E3F3E8"/>
      </patternFill>
    </fill>
    <fill>
      <patternFill patternType="solid">
        <fgColor rgb="00EEEEEE"/>
      </patternFill>
    </fill>
    <fill>
      <patternFill patternType="solid">
        <fgColor rgb="00FFF1D6"/>
      </patternFill>
    </fill>
    <fill>
      <patternFill patternType="solid">
        <fgColor rgb="00FBE3E3"/>
      </patternFill>
    </fill>
    <fill>
      <patternFill patternType="solid">
        <fgColor rgb="00FEEBDD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left" vertical="top"/>
    </xf>
    <xf numFmtId="0" fontId="7" fillId="0" borderId="0" pivotButton="0" quotePrefix="0" xfId="0"/>
    <xf numFmtId="0" fontId="6" fillId="0" borderId="0" applyAlignment="1" pivotButton="0" quotePrefix="0" xfId="0">
      <alignment vertical="top" wrapText="1"/>
    </xf>
    <xf numFmtId="0" fontId="8" fillId="2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top" wrapText="1"/>
    </xf>
    <xf numFmtId="0" fontId="6" fillId="0" borderId="1" applyAlignment="1" pivotButton="0" quotePrefix="0" xfId="0">
      <alignment horizontal="center" vertical="top" wrapText="1"/>
    </xf>
    <xf numFmtId="9" fontId="6" fillId="0" borderId="1" applyAlignment="1" pivotButton="0" quotePrefix="0" xfId="0">
      <alignment horizontal="center" vertical="top"/>
    </xf>
    <xf numFmtId="0" fontId="5" fillId="7" borderId="1" applyAlignment="1" pivotButton="0" quotePrefix="0" xfId="0">
      <alignment vertical="top" wrapText="1"/>
    </xf>
    <xf numFmtId="0" fontId="5" fillId="7" borderId="1" applyAlignment="1" pivotButton="0" quotePrefix="0" xfId="0">
      <alignment horizontal="center" vertical="top" wrapText="1"/>
    </xf>
    <xf numFmtId="9" fontId="5" fillId="7" borderId="1" applyAlignment="1" pivotButton="0" quotePrefix="0" xfId="0">
      <alignment horizontal="center" vertical="top"/>
    </xf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horizontal="center" vertical="top" wrapText="1"/>
    </xf>
    <xf numFmtId="0" fontId="2" fillId="4" borderId="0" applyAlignment="1" pivotButton="0" quotePrefix="0" xfId="0">
      <alignment horizontal="center" vertical="top" wrapText="1"/>
    </xf>
    <xf numFmtId="0" fontId="2" fillId="5" borderId="0" applyAlignment="1" pivotButton="0" quotePrefix="0" xfId="0">
      <alignment horizontal="center" vertical="top" wrapText="1"/>
    </xf>
    <xf numFmtId="0" fontId="2" fillId="6" borderId="0" applyAlignment="1" pivotButton="0" quotePrefix="0" xfId="0">
      <alignment horizontal="center" vertical="top" wrapText="1"/>
    </xf>
    <xf numFmtId="1" fontId="2" fillId="0" borderId="0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724025" cy="533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1724025" cy="533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ables/table1.xml><?xml version="1.0" encoding="utf-8"?>
<table xmlns="http://schemas.openxmlformats.org/spreadsheetml/2006/main" id="1" name="Scenarios" displayName="Scenarios" ref="A1:I71" headerRowCount="1">
  <autoFilter ref="A1:I71"/>
  <tableColumns count="9">
    <tableColumn id="1" name="ID"/>
    <tableColumn id="2" name="Area"/>
    <tableColumn id="3" name="RFP IDs"/>
    <tableColumn id="4" name="Persona"/>
    <tableColumn id="5" name="Scenario"/>
    <tableColumn id="6" name="Pre-conditions"/>
    <tableColumn id="7" name="Expected end state"/>
    <tableColumn id="8" name="Conditions"/>
    <tableColumn id="9" name="Cases"/>
  </tableColumns>
  <tableStyleInfo name="TableStyleLight1" showRowStripes="1"/>
</table>
</file>

<file path=xl/tables/table2.xml><?xml version="1.0" encoding="utf-8"?>
<table xmlns="http://schemas.openxmlformats.org/spreadsheetml/2006/main" id="2" name="Conditions" displayName="Conditions" ref="A1:I197" headerRowCount="1">
  <autoFilter ref="A1:I197"/>
  <tableColumns count="9">
    <tableColumn id="1" name="ID"/>
    <tableColumn id="2" name="Scenario"/>
    <tableColumn id="3" name="Area"/>
    <tableColumn id="4" name="Condition / rule under test"/>
    <tableColumn id="5" name="Cases"/>
    <tableColumn id="6" name="Passed"/>
    <tableColumn id="7" name="Failed"/>
    <tableColumn id="8" name="Blocked"/>
    <tableColumn id="9" name="Not executed"/>
  </tableColumns>
  <tableStyleInfo name="TableStyleLight1" showRowStripes="1"/>
</table>
</file>

<file path=xl/tables/table3.xml><?xml version="1.0" encoding="utf-8"?>
<table xmlns="http://schemas.openxmlformats.org/spreadsheetml/2006/main" id="3" name="Cases" displayName="Cases" ref="A1:P439" headerRowCount="1">
  <autoFilter ref="A1:P439"/>
  <tableColumns count="16">
    <tableColumn id="1" name="ID"/>
    <tableColumn id="2" name="Scenario"/>
    <tableColumn id="3" name="Condition"/>
    <tableColumn id="4" name="Area"/>
    <tableColumn id="5" name="Title"/>
    <tableColumn id="6" name="Persona / user"/>
    <tableColumn id="7" name="Steps"/>
    <tableColumn id="8" name="Test data"/>
    <tableColumn id="9" name="Expected result"/>
    <tableColumn id="10" name="Level"/>
    <tableColumn id="11" name="Automation"/>
    <tableColumn id="12" name="Status"/>
    <tableColumn id="13" name="Evidence"/>
    <tableColumn id="14" name="Executed on"/>
    <tableColumn id="15" name="Executed by"/>
    <tableColumn id="16" name="Defect ref"/>
  </tableColumns>
  <tableStyleInfo name="TableStyleLight1" showRowStripes="1"/>
</table>
</file>

<file path=xl/tables/table4.xml><?xml version="1.0" encoding="utf-8"?>
<table xmlns="http://schemas.openxmlformats.org/spreadsheetml/2006/main" id="4" name="Defects" displayName="Defects" ref="A1:I3" headerRowCount="1">
  <autoFilter ref="A1:I3"/>
  <tableColumns count="9">
    <tableColumn id="1" name="ID"/>
    <tableColumn id="2" name="Title"/>
    <tableColumn id="3" name="Severity"/>
    <tableColumn id="4" name="Priority"/>
    <tableColumn id="5" name="Area"/>
    <tableColumn id="6" name="Description"/>
    <tableColumn id="7" name="Found by"/>
    <tableColumn id="8" name="Status"/>
    <tableColumn id="9" name="Cases"/>
  </tableColumns>
  <tableStyleInfo name="TableStyleLight1" showRowStripes="1"/>
</table>
</file>

<file path=xl/tables/table5.xml><?xml version="1.0" encoding="utf-8"?>
<table xmlns="http://schemas.openxmlformats.org/spreadsheetml/2006/main" id="5" name="Traceability" displayName="Traceability" ref="A1:J170" headerRowCount="1">
  <autoFilter ref="A1:J170"/>
  <tableColumns count="10">
    <tableColumn id="1" name="RFP ID"/>
    <tableColumn id="2" name="Area"/>
    <tableColumn id="3" name="Requirement"/>
    <tableColumn id="4" name="Scenarios"/>
    <tableColumn id="5" name="Cases"/>
    <tableColumn id="6" name="Executed"/>
    <tableColumn id="7" name="Passed"/>
    <tableColumn id="8" name="Failed"/>
    <tableColumn id="9" name="Case IDs"/>
    <tableColumn id="10" name="Coverage"/>
  </tableColumns>
  <tableStyleInfo name="TableStyleLight1" showRowStripes="1"/>
</table>
</file>

<file path=xl/tables/table6.xml><?xml version="1.0" encoding="utf-8"?>
<table xmlns="http://schemas.openxmlformats.org/spreadsheetml/2006/main" id="6" name="Executionlog" displayName="Executionlog" ref="A1:I327" headerRowCount="1">
  <autoFilter ref="A1:I327"/>
  <tableColumns count="9">
    <tableColumn id="1" name="Run"/>
    <tableColumn id="2" name="When"/>
    <tableColumn id="3" name="Executed by"/>
    <tableColumn id="4" name="Case / test"/>
    <tableColumn id="5" name="Actor"/>
    <tableColumn id="6" name="Request / command"/>
    <tableColumn id="7" name="Expected"/>
    <tableColumn id="8" name="Response / outcome"/>
    <tableColumn id="9" name="Result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tabColor rgb="00E1058C"/>
    <outlinePr summaryBelow="1" summaryRight="1"/>
    <pageSetUpPr fitToPage="1"/>
  </sheetPr>
  <dimension ref="A4:B50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10" customWidth="1" min="2" max="2"/>
  </cols>
  <sheetData>
    <row r="1" ht="16" customHeight="1"/>
    <row r="2" ht="16" customHeight="1"/>
    <row r="3" ht="16" customHeight="1"/>
    <row r="4" ht="22" customHeight="1">
      <c r="A4" s="1" t="inlineStr">
        <is>
          <t>SalesVerse 2.0 – Test Cases</t>
        </is>
      </c>
    </row>
    <row r="5">
      <c r="A5" s="2" t="inlineStr">
        <is>
          <t>iorta TechNXT – IIFT Agent/Banca Portal &amp; Back-office for Insurans Islam Family Takaful Sendirian Berhad – October 2026</t>
        </is>
      </c>
    </row>
    <row r="7">
      <c r="A7" s="3" t="inlineStr">
        <is>
          <t>Document reference</t>
        </is>
      </c>
      <c r="B7" s="4" t="inlineStr">
        <is>
          <t>IIFT-SV2-TCS</t>
        </is>
      </c>
    </row>
    <row r="8">
      <c r="A8" s="3" t="inlineStr">
        <is>
          <t>RFP deliverables</t>
        </is>
      </c>
      <c r="B8" s="4" t="inlineStr">
        <is>
          <t>DEL-13 (test scenarios and expected results), DEL-14 precursor (execution evidence); UAT cases (DEL-15) are derived from the scenarios marked UAT</t>
        </is>
      </c>
    </row>
    <row r="9">
      <c r="A9" s="3" t="inlineStr">
        <is>
          <t>Status as of</t>
        </is>
      </c>
      <c r="B9" s="4" t="inlineStr">
        <is>
          <t>2 October 2026, source commit af2fb05</t>
        </is>
      </c>
    </row>
    <row r="10">
      <c r="A10" s="3" t="inlineStr">
        <is>
          <t>Companion document</t>
        </is>
      </c>
      <c r="B10" s="4" t="inlineStr">
        <is>
          <t>SalesVerse-2.0-Test-Strategy (IIFT-SV2-TST): levels, environments, entry/exit criteria, schedule; its 'Status post testing' section is built from the same data as the Summary sheet</t>
        </is>
      </c>
    </row>
    <row r="11">
      <c r="A11" s="3" t="inlineStr">
        <is>
          <t>Classification</t>
        </is>
      </c>
      <c r="B11" s="4" t="inlineStr">
        <is>
          <t>Commercial-in-Confidence</t>
        </is>
      </c>
    </row>
    <row r="13" ht="18" customHeight="1">
      <c r="A13" s="5" t="inlineStr">
        <is>
          <t>How to read this workbook</t>
        </is>
      </c>
    </row>
    <row r="14" ht="26" customHeight="1">
      <c r="A14" s="6" t="inlineStr">
        <is>
          <t>•  Scenarios: one business or technical situation per row, traced to RFP identifiers (AP, BO, INT, COM, NFR, DEL, MNT, FFR) with persona, pre-conditions and expected end state.</t>
        </is>
      </c>
    </row>
    <row r="15" ht="13" customHeight="1">
      <c r="A15" s="6" t="inlineStr">
        <is>
          <t>•  Conditions: the rules and decisions inside each scenario that at least one case verifies (for example 'nominee shares must total 100%').</t>
        </is>
      </c>
    </row>
    <row r="16" ht="26" customHeight="1">
      <c r="A16" s="6" t="inlineStr">
        <is>
          <t>•  Cases: the executable cases with numbered steps, test data, expected result, level, automation, status, evidence and execution details. Filter by Area, Level or Status.</t>
        </is>
      </c>
    </row>
    <row r="17" ht="13" customHeight="1">
      <c r="A17" s="6" t="inlineStr">
        <is>
          <t>•  Defects: failures found during the run with severity and status (headers only when none).</t>
        </is>
      </c>
    </row>
    <row r="18" ht="13" customHeight="1">
      <c r="A18" s="6" t="inlineStr">
        <is>
          <t>•  Traceability: every RFP requirement in scope with its scenarios, case identifiers and coverage; requirements without a case are marked.</t>
        </is>
      </c>
    </row>
    <row r="19" ht="26" customHeight="1">
      <c r="A19" s="6" t="inlineStr">
        <is>
          <t>•  Execution log: every API case executed by the test run script, the automated suite re-runs and the security check run, with request, response and verdict.</t>
        </is>
      </c>
    </row>
    <row r="20" ht="13" customHeight="1">
      <c r="A20" s="6" t="inlineStr">
        <is>
          <t>•  Summary: counts by status, level, area and automation as formulas over the Cases sheet, with the catalogue's own count beside each for a drift check.</t>
        </is>
      </c>
    </row>
    <row r="22" ht="18" customHeight="1">
      <c r="A22" s="5" t="inlineStr">
        <is>
          <t>Status and level definitions</t>
        </is>
      </c>
    </row>
    <row r="23" ht="20" customHeight="1">
      <c r="A23" s="7" t="inlineStr">
        <is>
          <t>Term</t>
        </is>
      </c>
      <c r="B23" s="7" t="inlineStr">
        <is>
          <t>Meaning</t>
        </is>
      </c>
    </row>
    <row r="24">
      <c r="A24" s="8" t="inlineStr">
        <is>
          <t>Passed</t>
        </is>
      </c>
      <c r="B24" s="8" t="inlineStr">
        <is>
          <t>Executed and the expected result observed (automated run, API run or manual exploratory run with a screen capture).</t>
        </is>
      </c>
    </row>
    <row r="25">
      <c r="A25" s="8" t="inlineStr">
        <is>
          <t>Failed</t>
        </is>
      </c>
      <c r="B25" s="8" t="inlineStr">
        <is>
          <t>Executed and the expected result not observed; a defect reference is given.</t>
        </is>
      </c>
    </row>
    <row r="26">
      <c r="A26" s="8" t="inlineStr">
        <is>
          <t>Blocked</t>
        </is>
      </c>
      <c r="B26" s="8" t="inlineStr">
        <is>
          <t>Execution attempted but a pre-condition was not available in the test data or environment.</t>
        </is>
      </c>
    </row>
    <row r="27">
      <c r="A27" s="8" t="inlineStr">
        <is>
          <t>Not executed</t>
        </is>
      </c>
      <c r="B27" s="8" t="inlineStr">
        <is>
          <t>Not run in the iorta test environment; the Evidence column states why (IIFT environment, time-based job, UAT, VAPT, performance scale, not yet built).</t>
        </is>
      </c>
    </row>
    <row r="28">
      <c r="A28" s="8" t="inlineStr">
        <is>
          <t>Unit</t>
        </is>
      </c>
      <c r="B28" s="8" t="inlineStr">
        <is>
          <t>Vitest unit tests of the API (business rules, rating engines, validators) and of web components (Testing Library).</t>
        </is>
      </c>
    </row>
    <row r="29">
      <c r="A29" s="8" t="inlineStr">
        <is>
          <t>API</t>
        </is>
      </c>
      <c r="B29" s="8" t="inlineStr">
        <is>
          <t>System cases executed by tools/testing/api-test-run.mjs through the HTTP API of the running demonstration instance.</t>
        </is>
      </c>
    </row>
    <row r="30">
      <c r="A30" s="8" t="inlineStr">
        <is>
          <t>E2E</t>
        </is>
      </c>
      <c r="B30" s="8" t="inlineStr">
        <is>
          <t>The end-to-end suite apps/api/test/*.e2e-spec.ts (supertest against a dedicated PostgreSQL test database).</t>
        </is>
      </c>
    </row>
    <row r="31">
      <c r="A31" s="8" t="inlineStr">
        <is>
          <t>UI</t>
        </is>
      </c>
      <c r="B31" s="8" t="inlineStr">
        <is>
          <t>Manual exploratory runs in the browser; evidence is a screen capture in evidence/ui-screens.</t>
        </is>
      </c>
    </row>
    <row r="32">
      <c r="A32" s="8" t="inlineStr">
        <is>
          <t>Security</t>
        </is>
      </c>
      <c r="B32" s="8" t="inlineStr">
        <is>
          <t>The OWASP Top 10 checks in tools/security/security-checks.mjs.</t>
        </is>
      </c>
    </row>
    <row r="33">
      <c r="A33" s="8" t="inlineStr">
        <is>
          <t>SIT / Perf / UAT</t>
        </is>
      </c>
      <c r="B33" s="8" t="inlineStr">
        <is>
          <t>Levels that need IIFT's systems, scale or users; executed in weeks 16–22 of the plan.</t>
        </is>
      </c>
    </row>
    <row r="34">
      <c r="A34" s="8" t="inlineStr">
        <is>
          <t>Automation</t>
        </is>
      </c>
      <c r="B34" s="8" t="inlineStr">
        <is>
          <t>'Automated – &lt;spec&gt;' for tests in the repository; 'Executed – API run' for the scripted run; 'Manual (exploratory)'; 'Not automated'.</t>
        </is>
      </c>
    </row>
    <row r="36" ht="18" customHeight="1">
      <c r="A36" s="5" t="inlineStr">
        <is>
          <t>Evidence files (docs/technical/evidence)</t>
        </is>
      </c>
    </row>
    <row r="37" ht="20" customHeight="1">
      <c r="A37" s="7" t="inlineStr">
        <is>
          <t>File</t>
        </is>
      </c>
      <c r="B37" s="7" t="inlineStr">
        <is>
          <t>Content</t>
        </is>
      </c>
    </row>
    <row r="38">
      <c r="A38" s="8" t="inlineStr">
        <is>
          <t>api-unit-tests.json</t>
        </is>
      </c>
      <c r="B38" s="8" t="inlineStr">
        <is>
          <t>Vitest results of the API unit tests (59)</t>
        </is>
      </c>
    </row>
    <row r="39">
      <c r="A39" s="8" t="inlineStr">
        <is>
          <t>web-unit-tests.json</t>
        </is>
      </c>
      <c r="B39" s="8" t="inlineStr">
        <is>
          <t>Vitest results of the web unit tests at the evidence capture (81)</t>
        </is>
      </c>
    </row>
    <row r="40">
      <c r="A40" s="8" t="inlineStr">
        <is>
          <t>api-e2e-tests.json</t>
        </is>
      </c>
      <c r="B40" s="8" t="inlineStr">
        <is>
          <t>Vitest results of the end-to-end suite (32)</t>
        </is>
      </c>
    </row>
    <row r="41">
      <c r="A41" s="8" t="inlineStr">
        <is>
          <t>test-reruns.json</t>
        </is>
      </c>
      <c r="B41" s="8" t="inlineStr">
        <is>
          <t>Re-runs of the three suites by iorta QA on 2 October 2026 (59, 91 and 32 tests); the later result is the status shown</t>
        </is>
      </c>
    </row>
    <row r="42">
      <c r="A42" s="8" t="inlineStr">
        <is>
          <t>security-checks.json</t>
        </is>
      </c>
      <c r="B42" s="8" t="inlineStr">
        <is>
          <t>29 OWASP checks (see the Security Assessment Report)</t>
        </is>
      </c>
    </row>
    <row r="43">
      <c r="A43" s="8" t="inlineStr">
        <is>
          <t>api-test-run.json</t>
        </is>
      </c>
      <c r="B43" s="8" t="inlineStr">
        <is>
          <t>API run of 113 cases: 111 passed, 2 not passed; started 2026-10-02 22:12 UTC</t>
        </is>
      </c>
    </row>
    <row r="44">
      <c r="A44" s="8" t="inlineStr">
        <is>
          <t>ui-screens/</t>
        </is>
      </c>
      <c r="B44" s="8" t="inlineStr">
        <is>
          <t>Screen captures cited by the manual cases (JPEG copies of the PNG captures)</t>
        </is>
      </c>
    </row>
    <row r="46" ht="18" customHeight="1">
      <c r="A46" s="5" t="inlineStr">
        <is>
          <t>Conventions</t>
        </is>
      </c>
    </row>
    <row r="47" ht="26" customHeight="1">
      <c r="A47" s="6" t="inlineStr">
        <is>
          <t>•  Demonstration users: ag-000001 (agency principal), ag-000002 (sub-agent), ag-000003 (principal of another agency), bk-000004 and bk-000005 (bank officers; the bank is blocked for new business), manager, ops.maker, ops.checker, underwriter, finance, compliance, support, admin.</t>
        </is>
      </c>
    </row>
    <row r="48" ht="13" customHeight="1">
      <c r="A48" s="6" t="inlineStr">
        <is>
          <t>•  Dates in the execution log are UTC; the application's business day is the Brunei calendar day (UTC+8).</t>
        </is>
      </c>
    </row>
    <row r="49" ht="13" customHeight="1">
      <c r="A49" s="6" t="inlineStr">
        <is>
          <t>•  Cases are numbered CS-nnnn in area order; scenario and condition identifiers are stable keys used by the Test Strategy.</t>
        </is>
      </c>
    </row>
    <row r="50" ht="13" customHeight="1">
      <c r="A50" s="6" t="inlineStr">
        <is>
          <t>•  The workbook is generated by docs/technical/build/build_test_cases.py; edit the catalogue modules, not the file.</t>
        </is>
      </c>
    </row>
  </sheetData>
  <mergeCells count="11">
    <mergeCell ref="A48:B48"/>
    <mergeCell ref="A20:B20"/>
    <mergeCell ref="A16:B16"/>
    <mergeCell ref="A15:B15"/>
    <mergeCell ref="A19:B19"/>
    <mergeCell ref="A49:B49"/>
    <mergeCell ref="A47:B47"/>
    <mergeCell ref="A14:B14"/>
    <mergeCell ref="A17:B17"/>
    <mergeCell ref="A18:B18"/>
    <mergeCell ref="A50:B50"/>
  </mergeCells>
  <printOptions horizontalCentered="1"/>
  <pageMargins left="0.4" right="0.4" top="0.6" bottom="0.6" header="0.5" footer="0.5"/>
  <pageSetup orientation="landscape" paperSize="9" fitToHeight="0" fitToWidth="1"/>
  <headerFooter>
    <oddHeader>&amp;R&amp;8 iorta TechNXT | IIFT Agent/Banca Portal &amp; Back-office</oddHeader>
    <oddFooter>&amp;L&amp;8 Commercial-in-Confidence | IIFT-SV2-TCS v1.0&amp;R&amp;8 &amp;A | 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F58220"/>
    <outlinePr summaryBelow="1" summaryRight="1"/>
    <pageSetUpPr fitToPage="1"/>
  </sheetPr>
  <dimension ref="A4:H69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2" customWidth="1" min="4" max="4"/>
    <col width="14" customWidth="1" min="5" max="5"/>
    <col width="14" customWidth="1" min="6" max="6"/>
    <col width="14" customWidth="1" min="7" max="7"/>
    <col width="16" customWidth="1" min="8" max="8"/>
  </cols>
  <sheetData>
    <row r="1" ht="16" customHeight="1"/>
    <row r="2" ht="16" customHeight="1"/>
    <row r="3" ht="16" customHeight="1"/>
    <row r="4" ht="22" customHeight="1">
      <c r="A4" s="1" t="inlineStr">
        <is>
          <t>SalesVerse 2.0 – Test status summary</t>
        </is>
      </c>
    </row>
    <row r="5">
      <c r="A5" s="2" t="inlineStr">
        <is>
          <t>As of 2 October 2026 (commit af2fb05); formulas count the Cases sheet, 'Catalogue' is the generator's count</t>
        </is>
      </c>
    </row>
    <row r="7" ht="18" customHeight="1">
      <c r="A7" s="5" t="inlineStr">
        <is>
          <t>Catalogue size</t>
        </is>
      </c>
    </row>
    <row r="8" ht="20" customHeight="1">
      <c r="A8" s="7" t="inlineStr">
        <is>
          <t>Item</t>
        </is>
      </c>
      <c r="B8" s="7" t="inlineStr">
        <is>
          <t>Count</t>
        </is>
      </c>
      <c r="C8" s="7" t="inlineStr">
        <is>
          <t>Catalogue</t>
        </is>
      </c>
      <c r="D8" s="7" t="inlineStr">
        <is>
          <t>Check</t>
        </is>
      </c>
    </row>
    <row r="9">
      <c r="A9" s="8" t="inlineStr">
        <is>
          <t>Test scenarios</t>
        </is>
      </c>
      <c r="B9" s="9">
        <f>COUNTA(Scenarios!A:A)-1</f>
        <v/>
      </c>
      <c r="C9" s="9" t="n">
        <v>70</v>
      </c>
      <c r="D9" s="9">
        <f>IF(B9=C9,"OK","DRIFT")</f>
        <v/>
      </c>
    </row>
    <row r="10">
      <c r="A10" s="8" t="inlineStr">
        <is>
          <t>Test conditions</t>
        </is>
      </c>
      <c r="B10" s="9">
        <f>COUNTA(Conditions!A:A)-1</f>
        <v/>
      </c>
      <c r="C10" s="9" t="n">
        <v>196</v>
      </c>
      <c r="D10" s="9">
        <f>IF(B10=C10,"OK","DRIFT")</f>
        <v/>
      </c>
    </row>
    <row r="11">
      <c r="A11" s="8" t="inlineStr">
        <is>
          <t>Test cases</t>
        </is>
      </c>
      <c r="B11" s="9">
        <f>COUNTA(Cases!A:A)-1</f>
        <v/>
      </c>
      <c r="C11" s="9" t="n">
        <v>438</v>
      </c>
      <c r="D11" s="9">
        <f>IF(B11=C11,"OK","DRIFT")</f>
        <v/>
      </c>
    </row>
    <row r="13" ht="18" customHeight="1">
      <c r="A13" s="5" t="inlineStr">
        <is>
          <t>Cases by status</t>
        </is>
      </c>
    </row>
    <row r="14" ht="20" customHeight="1">
      <c r="A14" s="7" t="inlineStr">
        <is>
          <t>Status</t>
        </is>
      </c>
      <c r="B14" s="7" t="inlineStr">
        <is>
          <t>Cases</t>
        </is>
      </c>
      <c r="C14" s="7" t="inlineStr">
        <is>
          <t>Catalogue</t>
        </is>
      </c>
      <c r="D14" s="7" t="inlineStr">
        <is>
          <t>Check</t>
        </is>
      </c>
      <c r="E14" s="7" t="inlineStr">
        <is>
          <t>Share</t>
        </is>
      </c>
    </row>
    <row r="15">
      <c r="A15" s="8" t="inlineStr">
        <is>
          <t>Status: Passed</t>
        </is>
      </c>
      <c r="B15" s="9">
        <f>COUNTIF(Cases!$L:$L,"Passed")</f>
        <v/>
      </c>
      <c r="C15" s="9" t="n">
        <v>384</v>
      </c>
      <c r="D15" s="9">
        <f>IF(B15=C15,"OK","DRIFT")</f>
        <v/>
      </c>
      <c r="E15" s="10">
        <f>B15/$B$19</f>
        <v/>
      </c>
    </row>
    <row r="16">
      <c r="A16" s="8" t="inlineStr">
        <is>
          <t>Status: Failed</t>
        </is>
      </c>
      <c r="B16" s="9">
        <f>COUNTIF(Cases!$L:$L,"Failed")</f>
        <v/>
      </c>
      <c r="C16" s="9" t="n">
        <v>2</v>
      </c>
      <c r="D16" s="9">
        <f>IF(B16=C16,"OK","DRIFT")</f>
        <v/>
      </c>
      <c r="E16" s="10">
        <f>B16/$B$19</f>
        <v/>
      </c>
    </row>
    <row r="17">
      <c r="A17" s="8" t="inlineStr">
        <is>
          <t>Status: Blocked</t>
        </is>
      </c>
      <c r="B17" s="9">
        <f>COUNTIF(Cases!$L:$L,"Blocked")</f>
        <v/>
      </c>
      <c r="C17" s="9" t="n">
        <v>1</v>
      </c>
      <c r="D17" s="9">
        <f>IF(B17=C17,"OK","DRIFT")</f>
        <v/>
      </c>
      <c r="E17" s="10">
        <f>B17/$B$19</f>
        <v/>
      </c>
    </row>
    <row r="18">
      <c r="A18" s="8" t="inlineStr">
        <is>
          <t>Status: Not executed</t>
        </is>
      </c>
      <c r="B18" s="9">
        <f>COUNTIF(Cases!$L:$L,"Not executed")</f>
        <v/>
      </c>
      <c r="C18" s="9" t="n">
        <v>51</v>
      </c>
      <c r="D18" s="9">
        <f>IF(B18=C18,"OK","DRIFT")</f>
        <v/>
      </c>
      <c r="E18" s="10">
        <f>B18/$B$19</f>
        <v/>
      </c>
    </row>
    <row r="19">
      <c r="A19" s="11" t="inlineStr">
        <is>
          <t>Total</t>
        </is>
      </c>
      <c r="B19" s="12">
        <f>SUM(B15:B18)</f>
        <v/>
      </c>
      <c r="C19" s="12">
        <f>SUM(C15:C18)</f>
        <v/>
      </c>
      <c r="D19" s="12">
        <f>IF(B19=C19,"OK","DRIFT")</f>
        <v/>
      </c>
      <c r="E19" s="13">
        <f>B19/$B$19</f>
        <v/>
      </c>
    </row>
    <row r="21" ht="18" customHeight="1">
      <c r="A21" s="5" t="inlineStr">
        <is>
          <t>Cases by level</t>
        </is>
      </c>
    </row>
    <row r="22" ht="20" customHeight="1">
      <c r="A22" s="7" t="inlineStr">
        <is>
          <t>Level</t>
        </is>
      </c>
      <c r="B22" s="7" t="inlineStr">
        <is>
          <t>Cases</t>
        </is>
      </c>
      <c r="C22" s="7" t="inlineStr">
        <is>
          <t>Passed</t>
        </is>
      </c>
      <c r="D22" s="7" t="inlineStr">
        <is>
          <t>Failed</t>
        </is>
      </c>
      <c r="E22" s="7" t="inlineStr">
        <is>
          <t>Blocked</t>
        </is>
      </c>
      <c r="F22" s="7" t="inlineStr">
        <is>
          <t>Not executed</t>
        </is>
      </c>
      <c r="G22" s="7" t="inlineStr">
        <is>
          <t>Catalogue</t>
        </is>
      </c>
      <c r="H22" s="7" t="inlineStr">
        <is>
          <t>Check</t>
        </is>
      </c>
    </row>
    <row r="23">
      <c r="A23" s="8" t="inlineStr">
        <is>
          <t>Unit (API and web components)</t>
        </is>
      </c>
      <c r="B23" s="9">
        <f>COUNTIF(Cases!$J:$J,"Unit")</f>
        <v/>
      </c>
      <c r="C23" s="9">
        <f>COUNTIFS(Cases!$J:$J,"Unit",Cases!$L:$L,"Passed")</f>
        <v/>
      </c>
      <c r="D23" s="9">
        <f>COUNTIFS(Cases!$J:$J,"Unit",Cases!$L:$L,"Failed")</f>
        <v/>
      </c>
      <c r="E23" s="9">
        <f>COUNTIFS(Cases!$J:$J,"Unit",Cases!$L:$L,"Blocked")</f>
        <v/>
      </c>
      <c r="F23" s="9">
        <f>COUNTIFS(Cases!$J:$J,"Unit",Cases!$L:$L,"Not executed")</f>
        <v/>
      </c>
      <c r="G23" s="9" t="n">
        <v>150</v>
      </c>
      <c r="H23" s="9">
        <f>IF(B23=G23,"OK","DRIFT")</f>
        <v/>
      </c>
    </row>
    <row r="24">
      <c r="A24" s="8" t="inlineStr">
        <is>
          <t>API system cases executed against the running system</t>
        </is>
      </c>
      <c r="B24" s="9">
        <f>COUNTIF(Cases!$J:$J,"API")</f>
        <v/>
      </c>
      <c r="C24" s="9">
        <f>COUNTIFS(Cases!$J:$J,"API",Cases!$L:$L,"Passed")</f>
        <v/>
      </c>
      <c r="D24" s="9">
        <f>COUNTIFS(Cases!$J:$J,"API",Cases!$L:$L,"Failed")</f>
        <v/>
      </c>
      <c r="E24" s="9">
        <f>COUNTIFS(Cases!$J:$J,"API",Cases!$L:$L,"Blocked")</f>
        <v/>
      </c>
      <c r="F24" s="9">
        <f>COUNTIFS(Cases!$J:$J,"API",Cases!$L:$L,"Not executed")</f>
        <v/>
      </c>
      <c r="G24" s="9" t="n">
        <v>122</v>
      </c>
      <c r="H24" s="9">
        <f>IF(B24=G24,"OK","DRIFT")</f>
        <v/>
      </c>
    </row>
    <row r="25">
      <c r="A25" s="8" t="inlineStr">
        <is>
          <t>End-to-end API suite (business journeys)</t>
        </is>
      </c>
      <c r="B25" s="9">
        <f>COUNTIF(Cases!$J:$J,"E2E")</f>
        <v/>
      </c>
      <c r="C25" s="9">
        <f>COUNTIFS(Cases!$J:$J,"E2E",Cases!$L:$L,"Passed")</f>
        <v/>
      </c>
      <c r="D25" s="9">
        <f>COUNTIFS(Cases!$J:$J,"E2E",Cases!$L:$L,"Failed")</f>
        <v/>
      </c>
      <c r="E25" s="9">
        <f>COUNTIFS(Cases!$J:$J,"E2E",Cases!$L:$L,"Blocked")</f>
        <v/>
      </c>
      <c r="F25" s="9">
        <f>COUNTIFS(Cases!$J:$J,"E2E",Cases!$L:$L,"Not executed")</f>
        <v/>
      </c>
      <c r="G25" s="9" t="n">
        <v>44</v>
      </c>
      <c r="H25" s="9">
        <f>IF(B25=G25,"OK","DRIFT")</f>
        <v/>
      </c>
    </row>
    <row r="26">
      <c r="A26" s="8" t="inlineStr">
        <is>
          <t>User interface (manual, exploratory)</t>
        </is>
      </c>
      <c r="B26" s="9">
        <f>COUNTIF(Cases!$J:$J,"UI")</f>
        <v/>
      </c>
      <c r="C26" s="9">
        <f>COUNTIFS(Cases!$J:$J,"UI",Cases!$L:$L,"Passed")</f>
        <v/>
      </c>
      <c r="D26" s="9">
        <f>COUNTIFS(Cases!$J:$J,"UI",Cases!$L:$L,"Failed")</f>
        <v/>
      </c>
      <c r="E26" s="9">
        <f>COUNTIFS(Cases!$J:$J,"UI",Cases!$L:$L,"Blocked")</f>
        <v/>
      </c>
      <c r="F26" s="9">
        <f>COUNTIFS(Cases!$J:$J,"UI",Cases!$L:$L,"Not executed")</f>
        <v/>
      </c>
      <c r="G26" s="9" t="n">
        <v>57</v>
      </c>
      <c r="H26" s="9">
        <f>IF(B26=G26,"OK","DRIFT")</f>
        <v/>
      </c>
    </row>
    <row r="27">
      <c r="A27" s="8" t="inlineStr">
        <is>
          <t>Security checks (OWASP Top 10)</t>
        </is>
      </c>
      <c r="B27" s="9">
        <f>COUNTIF(Cases!$J:$J,"Security")</f>
        <v/>
      </c>
      <c r="C27" s="9">
        <f>COUNTIFS(Cases!$J:$J,"Security",Cases!$L:$L,"Passed")</f>
        <v/>
      </c>
      <c r="D27" s="9">
        <f>COUNTIFS(Cases!$J:$J,"Security",Cases!$L:$L,"Failed")</f>
        <v/>
      </c>
      <c r="E27" s="9">
        <f>COUNTIFS(Cases!$J:$J,"Security",Cases!$L:$L,"Blocked")</f>
        <v/>
      </c>
      <c r="F27" s="9">
        <f>COUNTIFS(Cases!$J:$J,"Security",Cases!$L:$L,"Not executed")</f>
        <v/>
      </c>
      <c r="G27" s="9" t="n">
        <v>34</v>
      </c>
      <c r="H27" s="9">
        <f>IF(B27=G27,"OK","DRIFT")</f>
        <v/>
      </c>
    </row>
    <row r="28">
      <c r="A28" s="8" t="inlineStr">
        <is>
          <t>System integration test with IIFT systems</t>
        </is>
      </c>
      <c r="B28" s="9">
        <f>COUNTIF(Cases!$J:$J,"SIT")</f>
        <v/>
      </c>
      <c r="C28" s="9">
        <f>COUNTIFS(Cases!$J:$J,"SIT",Cases!$L:$L,"Passed")</f>
        <v/>
      </c>
      <c r="D28" s="9">
        <f>COUNTIFS(Cases!$J:$J,"SIT",Cases!$L:$L,"Failed")</f>
        <v/>
      </c>
      <c r="E28" s="9">
        <f>COUNTIFS(Cases!$J:$J,"SIT",Cases!$L:$L,"Blocked")</f>
        <v/>
      </c>
      <c r="F28" s="9">
        <f>COUNTIFS(Cases!$J:$J,"SIT",Cases!$L:$L,"Not executed")</f>
        <v/>
      </c>
      <c r="G28" s="9" t="n">
        <v>25</v>
      </c>
      <c r="H28" s="9">
        <f>IF(B28=G28,"OK","DRIFT")</f>
        <v/>
      </c>
    </row>
    <row r="29">
      <c r="A29" s="8" t="inlineStr">
        <is>
          <t>Performance</t>
        </is>
      </c>
      <c r="B29" s="9">
        <f>COUNTIF(Cases!$J:$J,"Perf")</f>
        <v/>
      </c>
      <c r="C29" s="9">
        <f>COUNTIFS(Cases!$J:$J,"Perf",Cases!$L:$L,"Passed")</f>
        <v/>
      </c>
      <c r="D29" s="9">
        <f>COUNTIFS(Cases!$J:$J,"Perf",Cases!$L:$L,"Failed")</f>
        <v/>
      </c>
      <c r="E29" s="9">
        <f>COUNTIFS(Cases!$J:$J,"Perf",Cases!$L:$L,"Blocked")</f>
        <v/>
      </c>
      <c r="F29" s="9">
        <f>COUNTIFS(Cases!$J:$J,"Perf",Cases!$L:$L,"Not executed")</f>
        <v/>
      </c>
      <c r="G29" s="9" t="n">
        <v>3</v>
      </c>
      <c r="H29" s="9">
        <f>IF(B29=G29,"OK","DRIFT")</f>
        <v/>
      </c>
    </row>
    <row r="30">
      <c r="A30" s="8" t="inlineStr">
        <is>
          <t>User acceptance</t>
        </is>
      </c>
      <c r="B30" s="9">
        <f>COUNTIF(Cases!$J:$J,"UAT")</f>
        <v/>
      </c>
      <c r="C30" s="9">
        <f>COUNTIFS(Cases!$J:$J,"UAT",Cases!$L:$L,"Passed")</f>
        <v/>
      </c>
      <c r="D30" s="9">
        <f>COUNTIFS(Cases!$J:$J,"UAT",Cases!$L:$L,"Failed")</f>
        <v/>
      </c>
      <c r="E30" s="9">
        <f>COUNTIFS(Cases!$J:$J,"UAT",Cases!$L:$L,"Blocked")</f>
        <v/>
      </c>
      <c r="F30" s="9">
        <f>COUNTIFS(Cases!$J:$J,"UAT",Cases!$L:$L,"Not executed")</f>
        <v/>
      </c>
      <c r="G30" s="9" t="n">
        <v>3</v>
      </c>
      <c r="H30" s="9">
        <f>IF(B30=G30,"OK","DRIFT")</f>
        <v/>
      </c>
    </row>
    <row r="31">
      <c r="A31" s="11" t="inlineStr">
        <is>
          <t>Total</t>
        </is>
      </c>
      <c r="B31" s="12">
        <f>SUM(B23:B30)</f>
        <v/>
      </c>
      <c r="C31" s="12">
        <f>SUM(C23:C30)</f>
        <v/>
      </c>
      <c r="D31" s="12">
        <f>SUM(D23:D30)</f>
        <v/>
      </c>
      <c r="E31" s="12">
        <f>SUM(E23:E30)</f>
        <v/>
      </c>
      <c r="F31" s="12">
        <f>SUM(F23:F30)</f>
        <v/>
      </c>
      <c r="G31" s="12">
        <f>SUM(G23:G30)</f>
        <v/>
      </c>
      <c r="H31" s="12">
        <f>IF(B31=G31,"OK","DRIFT")</f>
        <v/>
      </c>
    </row>
    <row r="33" ht="18" customHeight="1">
      <c r="A33" s="5" t="inlineStr">
        <is>
          <t>Cases by RFP area</t>
        </is>
      </c>
    </row>
    <row r="34" ht="20" customHeight="1">
      <c r="A34" s="7" t="inlineStr">
        <is>
          <t>Area</t>
        </is>
      </c>
      <c r="B34" s="7" t="inlineStr">
        <is>
          <t>Cases</t>
        </is>
      </c>
      <c r="C34" s="7" t="inlineStr">
        <is>
          <t>Passed</t>
        </is>
      </c>
      <c r="D34" s="7" t="inlineStr">
        <is>
          <t>Failed</t>
        </is>
      </c>
      <c r="E34" s="7" t="inlineStr">
        <is>
          <t>Blocked</t>
        </is>
      </c>
      <c r="F34" s="7" t="inlineStr">
        <is>
          <t>Not executed</t>
        </is>
      </c>
      <c r="G34" s="7" t="inlineStr">
        <is>
          <t>Catalogue</t>
        </is>
      </c>
      <c r="H34" s="7" t="inlineStr">
        <is>
          <t>Check</t>
        </is>
      </c>
    </row>
    <row r="35">
      <c r="A35" s="8" t="inlineStr">
        <is>
          <t>AUT – Authentication and session</t>
        </is>
      </c>
      <c r="B35" s="9">
        <f>COUNTIF(Cases!$D:$D,"AUT")</f>
        <v/>
      </c>
      <c r="C35" s="9">
        <f>COUNTIFS(Cases!$D:$D,"AUT",Cases!$L:$L,"Passed")</f>
        <v/>
      </c>
      <c r="D35" s="9">
        <f>COUNTIFS(Cases!$D:$D,"AUT",Cases!$L:$L,"Failed")</f>
        <v/>
      </c>
      <c r="E35" s="9">
        <f>COUNTIFS(Cases!$D:$D,"AUT",Cases!$L:$L,"Blocked")</f>
        <v/>
      </c>
      <c r="F35" s="9">
        <f>COUNTIFS(Cases!$D:$D,"AUT",Cases!$L:$L,"Not executed")</f>
        <v/>
      </c>
      <c r="G35" s="9" t="n">
        <v>37</v>
      </c>
      <c r="H35" s="9">
        <f>IF(B35=G35,"OK","DRIFT")</f>
        <v/>
      </c>
    </row>
    <row r="36">
      <c r="A36" s="8" t="inlineStr">
        <is>
          <t>ACC – Access control and data scoping</t>
        </is>
      </c>
      <c r="B36" s="9">
        <f>COUNTIF(Cases!$D:$D,"ACC")</f>
        <v/>
      </c>
      <c r="C36" s="9">
        <f>COUNTIFS(Cases!$D:$D,"ACC",Cases!$L:$L,"Passed")</f>
        <v/>
      </c>
      <c r="D36" s="9">
        <f>COUNTIFS(Cases!$D:$D,"ACC",Cases!$L:$L,"Failed")</f>
        <v/>
      </c>
      <c r="E36" s="9">
        <f>COUNTIFS(Cases!$D:$D,"ACC",Cases!$L:$L,"Blocked")</f>
        <v/>
      </c>
      <c r="F36" s="9">
        <f>COUNTIFS(Cases!$D:$D,"ACC",Cases!$L:$L,"Not executed")</f>
        <v/>
      </c>
      <c r="G36" s="9" t="n">
        <v>15</v>
      </c>
      <c r="H36" s="9">
        <f>IF(B36=G36,"OK","DRIFT")</f>
        <v/>
      </c>
    </row>
    <row r="37">
      <c r="A37" s="8" t="inlineStr">
        <is>
          <t>AGT – Agent and agency management</t>
        </is>
      </c>
      <c r="B37" s="9">
        <f>COUNTIF(Cases!$D:$D,"AGT")</f>
        <v/>
      </c>
      <c r="C37" s="9">
        <f>COUNTIFS(Cases!$D:$D,"AGT",Cases!$L:$L,"Passed")</f>
        <v/>
      </c>
      <c r="D37" s="9">
        <f>COUNTIFS(Cases!$D:$D,"AGT",Cases!$L:$L,"Failed")</f>
        <v/>
      </c>
      <c r="E37" s="9">
        <f>COUNTIFS(Cases!$D:$D,"AGT",Cases!$L:$L,"Blocked")</f>
        <v/>
      </c>
      <c r="F37" s="9">
        <f>COUNTIFS(Cases!$D:$D,"AGT",Cases!$L:$L,"Not executed")</f>
        <v/>
      </c>
      <c r="G37" s="9" t="n">
        <v>18</v>
      </c>
      <c r="H37" s="9">
        <f>IF(B37=G37,"OK","DRIFT")</f>
        <v/>
      </c>
    </row>
    <row r="38">
      <c r="A38" s="8" t="inlineStr">
        <is>
          <t>PAR – Participant management</t>
        </is>
      </c>
      <c r="B38" s="9">
        <f>COUNTIF(Cases!$D:$D,"PAR")</f>
        <v/>
      </c>
      <c r="C38" s="9">
        <f>COUNTIFS(Cases!$D:$D,"PAR",Cases!$L:$L,"Passed")</f>
        <v/>
      </c>
      <c r="D38" s="9">
        <f>COUNTIFS(Cases!$D:$D,"PAR",Cases!$L:$L,"Failed")</f>
        <v/>
      </c>
      <c r="E38" s="9">
        <f>COUNTIFS(Cases!$D:$D,"PAR",Cases!$L:$L,"Blocked")</f>
        <v/>
      </c>
      <c r="F38" s="9">
        <f>COUNTIFS(Cases!$D:$D,"PAR",Cases!$L:$L,"Not executed")</f>
        <v/>
      </c>
      <c r="G38" s="9" t="n">
        <v>11</v>
      </c>
      <c r="H38" s="9">
        <f>IF(B38=G38,"OK","DRIFT")</f>
        <v/>
      </c>
    </row>
    <row r="39">
      <c r="A39" s="8" t="inlineStr">
        <is>
          <t>AML – AML/KYC screening</t>
        </is>
      </c>
      <c r="B39" s="9">
        <f>COUNTIF(Cases!$D:$D,"AML")</f>
        <v/>
      </c>
      <c r="C39" s="9">
        <f>COUNTIFS(Cases!$D:$D,"AML",Cases!$L:$L,"Passed")</f>
        <v/>
      </c>
      <c r="D39" s="9">
        <f>COUNTIFS(Cases!$D:$D,"AML",Cases!$L:$L,"Failed")</f>
        <v/>
      </c>
      <c r="E39" s="9">
        <f>COUNTIFS(Cases!$D:$D,"AML",Cases!$L:$L,"Blocked")</f>
        <v/>
      </c>
      <c r="F39" s="9">
        <f>COUNTIFS(Cases!$D:$D,"AML",Cases!$L:$L,"Not executed")</f>
        <v/>
      </c>
      <c r="G39" s="9" t="n">
        <v>14</v>
      </c>
      <c r="H39" s="9">
        <f>IF(B39=G39,"OK","DRIFT")</f>
        <v/>
      </c>
    </row>
    <row r="40">
      <c r="A40" s="8" t="inlineStr">
        <is>
          <t>PRD – Products and rating</t>
        </is>
      </c>
      <c r="B40" s="9">
        <f>COUNTIF(Cases!$D:$D,"PRD")</f>
        <v/>
      </c>
      <c r="C40" s="9">
        <f>COUNTIFS(Cases!$D:$D,"PRD",Cases!$L:$L,"Passed")</f>
        <v/>
      </c>
      <c r="D40" s="9">
        <f>COUNTIFS(Cases!$D:$D,"PRD",Cases!$L:$L,"Failed")</f>
        <v/>
      </c>
      <c r="E40" s="9">
        <f>COUNTIFS(Cases!$D:$D,"PRD",Cases!$L:$L,"Blocked")</f>
        <v/>
      </c>
      <c r="F40" s="9">
        <f>COUNTIFS(Cases!$D:$D,"PRD",Cases!$L:$L,"Not executed")</f>
        <v/>
      </c>
      <c r="G40" s="9" t="n">
        <v>36</v>
      </c>
      <c r="H40" s="9">
        <f>IF(B40=G40,"OK","DRIFT")</f>
        <v/>
      </c>
    </row>
    <row r="41">
      <c r="A41" s="8" t="inlineStr">
        <is>
          <t>QUO – Quotation and submission</t>
        </is>
      </c>
      <c r="B41" s="9">
        <f>COUNTIF(Cases!$D:$D,"QUO")</f>
        <v/>
      </c>
      <c r="C41" s="9">
        <f>COUNTIFS(Cases!$D:$D,"QUO",Cases!$L:$L,"Passed")</f>
        <v/>
      </c>
      <c r="D41" s="9">
        <f>COUNTIFS(Cases!$D:$D,"QUO",Cases!$L:$L,"Failed")</f>
        <v/>
      </c>
      <c r="E41" s="9">
        <f>COUNTIFS(Cases!$D:$D,"QUO",Cases!$L:$L,"Blocked")</f>
        <v/>
      </c>
      <c r="F41" s="9">
        <f>COUNTIFS(Cases!$D:$D,"QUO",Cases!$L:$L,"Not executed")</f>
        <v/>
      </c>
      <c r="G41" s="9" t="n">
        <v>31</v>
      </c>
      <c r="H41" s="9">
        <f>IF(B41=G41,"OK","DRIFT")</f>
        <v/>
      </c>
    </row>
    <row r="42">
      <c r="A42" s="8" t="inlineStr">
        <is>
          <t>WFL – Approval workflow (maker-checker)</t>
        </is>
      </c>
      <c r="B42" s="9">
        <f>COUNTIF(Cases!$D:$D,"WFL")</f>
        <v/>
      </c>
      <c r="C42" s="9">
        <f>COUNTIFS(Cases!$D:$D,"WFL",Cases!$L:$L,"Passed")</f>
        <v/>
      </c>
      <c r="D42" s="9">
        <f>COUNTIFS(Cases!$D:$D,"WFL",Cases!$L:$L,"Failed")</f>
        <v/>
      </c>
      <c r="E42" s="9">
        <f>COUNTIFS(Cases!$D:$D,"WFL",Cases!$L:$L,"Blocked")</f>
        <v/>
      </c>
      <c r="F42" s="9">
        <f>COUNTIFS(Cases!$D:$D,"WFL",Cases!$L:$L,"Not executed")</f>
        <v/>
      </c>
      <c r="G42" s="9" t="n">
        <v>10</v>
      </c>
      <c r="H42" s="9">
        <f>IF(B42=G42,"OK","DRIFT")</f>
        <v/>
      </c>
    </row>
    <row r="43">
      <c r="A43" s="8" t="inlineStr">
        <is>
          <t>POL – Policy issuance and policy documents</t>
        </is>
      </c>
      <c r="B43" s="9">
        <f>COUNTIF(Cases!$D:$D,"POL")</f>
        <v/>
      </c>
      <c r="C43" s="9">
        <f>COUNTIFS(Cases!$D:$D,"POL",Cases!$L:$L,"Passed")</f>
        <v/>
      </c>
      <c r="D43" s="9">
        <f>COUNTIFS(Cases!$D:$D,"POL",Cases!$L:$L,"Failed")</f>
        <v/>
      </c>
      <c r="E43" s="9">
        <f>COUNTIFS(Cases!$D:$D,"POL",Cases!$L:$L,"Blocked")</f>
        <v/>
      </c>
      <c r="F43" s="9">
        <f>COUNTIFS(Cases!$D:$D,"POL",Cases!$L:$L,"Not executed")</f>
        <v/>
      </c>
      <c r="G43" s="9" t="n">
        <v>12</v>
      </c>
      <c r="H43" s="9">
        <f>IF(B43=G43,"OK","DRIFT")</f>
        <v/>
      </c>
    </row>
    <row r="44">
      <c r="A44" s="8" t="inlineStr">
        <is>
          <t>BIL – Billing and payments</t>
        </is>
      </c>
      <c r="B44" s="9">
        <f>COUNTIF(Cases!$D:$D,"BIL")</f>
        <v/>
      </c>
      <c r="C44" s="9">
        <f>COUNTIFS(Cases!$D:$D,"BIL",Cases!$L:$L,"Passed")</f>
        <v/>
      </c>
      <c r="D44" s="9">
        <f>COUNTIFS(Cases!$D:$D,"BIL",Cases!$L:$L,"Failed")</f>
        <v/>
      </c>
      <c r="E44" s="9">
        <f>COUNTIFS(Cases!$D:$D,"BIL",Cases!$L:$L,"Blocked")</f>
        <v/>
      </c>
      <c r="F44" s="9">
        <f>COUNTIFS(Cases!$D:$D,"BIL",Cases!$L:$L,"Not executed")</f>
        <v/>
      </c>
      <c r="G44" s="9" t="n">
        <v>17</v>
      </c>
      <c r="H44" s="9">
        <f>IF(B44=G44,"OK","DRIFT")</f>
        <v/>
      </c>
    </row>
    <row r="45">
      <c r="A45" s="8" t="inlineStr">
        <is>
          <t>SVC – Policy servicing: renewal, endorsement, cancellation</t>
        </is>
      </c>
      <c r="B45" s="9">
        <f>COUNTIF(Cases!$D:$D,"SVC")</f>
        <v/>
      </c>
      <c r="C45" s="9">
        <f>COUNTIFS(Cases!$D:$D,"SVC",Cases!$L:$L,"Passed")</f>
        <v/>
      </c>
      <c r="D45" s="9">
        <f>COUNTIFS(Cases!$D:$D,"SVC",Cases!$L:$L,"Failed")</f>
        <v/>
      </c>
      <c r="E45" s="9">
        <f>COUNTIFS(Cases!$D:$D,"SVC",Cases!$L:$L,"Blocked")</f>
        <v/>
      </c>
      <c r="F45" s="9">
        <f>COUNTIFS(Cases!$D:$D,"SVC",Cases!$L:$L,"Not executed")</f>
        <v/>
      </c>
      <c r="G45" s="9" t="n">
        <v>10</v>
      </c>
      <c r="H45" s="9">
        <f>IF(B45=G45,"OK","DRIFT")</f>
        <v/>
      </c>
    </row>
    <row r="46">
      <c r="A46" s="8" t="inlineStr">
        <is>
          <t>CLM – Claims notification</t>
        </is>
      </c>
      <c r="B46" s="9">
        <f>COUNTIF(Cases!$D:$D,"CLM")</f>
        <v/>
      </c>
      <c r="C46" s="9">
        <f>COUNTIFS(Cases!$D:$D,"CLM",Cases!$L:$L,"Passed")</f>
        <v/>
      </c>
      <c r="D46" s="9">
        <f>COUNTIFS(Cases!$D:$D,"CLM",Cases!$L:$L,"Failed")</f>
        <v/>
      </c>
      <c r="E46" s="9">
        <f>COUNTIFS(Cases!$D:$D,"CLM",Cases!$L:$L,"Blocked")</f>
        <v/>
      </c>
      <c r="F46" s="9">
        <f>COUNTIFS(Cases!$D:$D,"CLM",Cases!$L:$L,"Not executed")</f>
        <v/>
      </c>
      <c r="G46" s="9" t="n">
        <v>5</v>
      </c>
      <c r="H46" s="9">
        <f>IF(B46=G46,"OK","DRIFT")</f>
        <v/>
      </c>
    </row>
    <row r="47">
      <c r="A47" s="8" t="inlineStr">
        <is>
          <t>DOC – Documents and uploads</t>
        </is>
      </c>
      <c r="B47" s="9">
        <f>COUNTIF(Cases!$D:$D,"DOC")</f>
        <v/>
      </c>
      <c r="C47" s="9">
        <f>COUNTIFS(Cases!$D:$D,"DOC",Cases!$L:$L,"Passed")</f>
        <v/>
      </c>
      <c r="D47" s="9">
        <f>COUNTIFS(Cases!$D:$D,"DOC",Cases!$L:$L,"Failed")</f>
        <v/>
      </c>
      <c r="E47" s="9">
        <f>COUNTIFS(Cases!$D:$D,"DOC",Cases!$L:$L,"Blocked")</f>
        <v/>
      </c>
      <c r="F47" s="9">
        <f>COUNTIFS(Cases!$D:$D,"DOC",Cases!$L:$L,"Not executed")</f>
        <v/>
      </c>
      <c r="G47" s="9" t="n">
        <v>14</v>
      </c>
      <c r="H47" s="9">
        <f>IF(B47=G47,"OK","DRIFT")</f>
        <v/>
      </c>
    </row>
    <row r="48">
      <c r="A48" s="8" t="inlineStr">
        <is>
          <t>DSH – Dashboards and notifications</t>
        </is>
      </c>
      <c r="B48" s="9">
        <f>COUNTIF(Cases!$D:$D,"DSH")</f>
        <v/>
      </c>
      <c r="C48" s="9">
        <f>COUNTIFS(Cases!$D:$D,"DSH",Cases!$L:$L,"Passed")</f>
        <v/>
      </c>
      <c r="D48" s="9">
        <f>COUNTIFS(Cases!$D:$D,"DSH",Cases!$L:$L,"Failed")</f>
        <v/>
      </c>
      <c r="E48" s="9">
        <f>COUNTIFS(Cases!$D:$D,"DSH",Cases!$L:$L,"Blocked")</f>
        <v/>
      </c>
      <c r="F48" s="9">
        <f>COUNTIFS(Cases!$D:$D,"DSH",Cases!$L:$L,"Not executed")</f>
        <v/>
      </c>
      <c r="G48" s="9" t="n">
        <v>8</v>
      </c>
      <c r="H48" s="9">
        <f>IF(B48=G48,"OK","DRIFT")</f>
        <v/>
      </c>
    </row>
    <row r="49">
      <c r="A49" s="8" t="inlineStr">
        <is>
          <t>ISS – Issue management and SLA</t>
        </is>
      </c>
      <c r="B49" s="9">
        <f>COUNTIF(Cases!$D:$D,"ISS")</f>
        <v/>
      </c>
      <c r="C49" s="9">
        <f>COUNTIFS(Cases!$D:$D,"ISS",Cases!$L:$L,"Passed")</f>
        <v/>
      </c>
      <c r="D49" s="9">
        <f>COUNTIFS(Cases!$D:$D,"ISS",Cases!$L:$L,"Failed")</f>
        <v/>
      </c>
      <c r="E49" s="9">
        <f>COUNTIFS(Cases!$D:$D,"ISS",Cases!$L:$L,"Blocked")</f>
        <v/>
      </c>
      <c r="F49" s="9">
        <f>COUNTIFS(Cases!$D:$D,"ISS",Cases!$L:$L,"Not executed")</f>
        <v/>
      </c>
      <c r="G49" s="9" t="n">
        <v>9</v>
      </c>
      <c r="H49" s="9">
        <f>IF(B49=G49,"OK","DRIFT")</f>
        <v/>
      </c>
    </row>
    <row r="50">
      <c r="A50" s="8" t="inlineStr">
        <is>
          <t>RPT – Reporting</t>
        </is>
      </c>
      <c r="B50" s="9">
        <f>COUNTIF(Cases!$D:$D,"RPT")</f>
        <v/>
      </c>
      <c r="C50" s="9">
        <f>COUNTIFS(Cases!$D:$D,"RPT",Cases!$L:$L,"Passed")</f>
        <v/>
      </c>
      <c r="D50" s="9">
        <f>COUNTIFS(Cases!$D:$D,"RPT",Cases!$L:$L,"Failed")</f>
        <v/>
      </c>
      <c r="E50" s="9">
        <f>COUNTIFS(Cases!$D:$D,"RPT",Cases!$L:$L,"Blocked")</f>
        <v/>
      </c>
      <c r="F50" s="9">
        <f>COUNTIFS(Cases!$D:$D,"RPT",Cases!$L:$L,"Not executed")</f>
        <v/>
      </c>
      <c r="G50" s="9" t="n">
        <v>13</v>
      </c>
      <c r="H50" s="9">
        <f>IF(B50=G50,"OK","DRIFT")</f>
        <v/>
      </c>
    </row>
    <row r="51">
      <c r="A51" s="8" t="inlineStr">
        <is>
          <t>AUD – Audit trail</t>
        </is>
      </c>
      <c r="B51" s="9">
        <f>COUNTIF(Cases!$D:$D,"AUD")</f>
        <v/>
      </c>
      <c r="C51" s="9">
        <f>COUNTIFS(Cases!$D:$D,"AUD",Cases!$L:$L,"Passed")</f>
        <v/>
      </c>
      <c r="D51" s="9">
        <f>COUNTIFS(Cases!$D:$D,"AUD",Cases!$L:$L,"Failed")</f>
        <v/>
      </c>
      <c r="E51" s="9">
        <f>COUNTIFS(Cases!$D:$D,"AUD",Cases!$L:$L,"Blocked")</f>
        <v/>
      </c>
      <c r="F51" s="9">
        <f>COUNTIFS(Cases!$D:$D,"AUD",Cases!$L:$L,"Not executed")</f>
        <v/>
      </c>
      <c r="G51" s="9" t="n">
        <v>3</v>
      </c>
      <c r="H51" s="9">
        <f>IF(B51=G51,"OK","DRIFT")</f>
        <v/>
      </c>
    </row>
    <row r="52">
      <c r="A52" s="8" t="inlineStr">
        <is>
          <t>ADM – Administration and configuration</t>
        </is>
      </c>
      <c r="B52" s="9">
        <f>COUNTIF(Cases!$D:$D,"ADM")</f>
        <v/>
      </c>
      <c r="C52" s="9">
        <f>COUNTIFS(Cases!$D:$D,"ADM",Cases!$L:$L,"Passed")</f>
        <v/>
      </c>
      <c r="D52" s="9">
        <f>COUNTIFS(Cases!$D:$D,"ADM",Cases!$L:$L,"Failed")</f>
        <v/>
      </c>
      <c r="E52" s="9">
        <f>COUNTIFS(Cases!$D:$D,"ADM",Cases!$L:$L,"Blocked")</f>
        <v/>
      </c>
      <c r="F52" s="9">
        <f>COUNTIFS(Cases!$D:$D,"ADM",Cases!$L:$L,"Not executed")</f>
        <v/>
      </c>
      <c r="G52" s="9" t="n">
        <v>13</v>
      </c>
      <c r="H52" s="9">
        <f>IF(B52=G52,"OK","DRIFT")</f>
        <v/>
      </c>
    </row>
    <row r="53">
      <c r="A53" s="8" t="inlineStr">
        <is>
          <t>INT – Integration and end-of-day</t>
        </is>
      </c>
      <c r="B53" s="9">
        <f>COUNTIF(Cases!$D:$D,"INT")</f>
        <v/>
      </c>
      <c r="C53" s="9">
        <f>COUNTIFS(Cases!$D:$D,"INT",Cases!$L:$L,"Passed")</f>
        <v/>
      </c>
      <c r="D53" s="9">
        <f>COUNTIFS(Cases!$D:$D,"INT",Cases!$L:$L,"Failed")</f>
        <v/>
      </c>
      <c r="E53" s="9">
        <f>COUNTIFS(Cases!$D:$D,"INT",Cases!$L:$L,"Blocked")</f>
        <v/>
      </c>
      <c r="F53" s="9">
        <f>COUNTIFS(Cases!$D:$D,"INT",Cases!$L:$L,"Not executed")</f>
        <v/>
      </c>
      <c r="G53" s="9" t="n">
        <v>19</v>
      </c>
      <c r="H53" s="9">
        <f>IF(B53=G53,"OK","DRIFT")</f>
        <v/>
      </c>
    </row>
    <row r="54">
      <c r="A54" s="8" t="inlineStr">
        <is>
          <t>SEC – Application security</t>
        </is>
      </c>
      <c r="B54" s="9">
        <f>COUNTIF(Cases!$D:$D,"SEC")</f>
        <v/>
      </c>
      <c r="C54" s="9">
        <f>COUNTIFS(Cases!$D:$D,"SEC",Cases!$L:$L,"Passed")</f>
        <v/>
      </c>
      <c r="D54" s="9">
        <f>COUNTIFS(Cases!$D:$D,"SEC",Cases!$L:$L,"Failed")</f>
        <v/>
      </c>
      <c r="E54" s="9">
        <f>COUNTIFS(Cases!$D:$D,"SEC",Cases!$L:$L,"Blocked")</f>
        <v/>
      </c>
      <c r="F54" s="9">
        <f>COUNTIFS(Cases!$D:$D,"SEC",Cases!$L:$L,"Not executed")</f>
        <v/>
      </c>
      <c r="G54" s="9" t="n">
        <v>25</v>
      </c>
      <c r="H54" s="9">
        <f>IF(B54=G54,"OK","DRIFT")</f>
        <v/>
      </c>
    </row>
    <row r="55">
      <c r="A55" s="8" t="inlineStr">
        <is>
          <t>NFR – Non-functional: performance, availability, DR, usability</t>
        </is>
      </c>
      <c r="B55" s="9">
        <f>COUNTIF(Cases!$D:$D,"NFR")</f>
        <v/>
      </c>
      <c r="C55" s="9">
        <f>COUNTIFS(Cases!$D:$D,"NFR",Cases!$L:$L,"Passed")</f>
        <v/>
      </c>
      <c r="D55" s="9">
        <f>COUNTIFS(Cases!$D:$D,"NFR",Cases!$L:$L,"Failed")</f>
        <v/>
      </c>
      <c r="E55" s="9">
        <f>COUNTIFS(Cases!$D:$D,"NFR",Cases!$L:$L,"Blocked")</f>
        <v/>
      </c>
      <c r="F55" s="9">
        <f>COUNTIFS(Cases!$D:$D,"NFR",Cases!$L:$L,"Not executed")</f>
        <v/>
      </c>
      <c r="G55" s="9" t="n">
        <v>17</v>
      </c>
      <c r="H55" s="9">
        <f>IF(B55=G55,"OK","DRIFT")</f>
        <v/>
      </c>
    </row>
    <row r="56">
      <c r="A56" s="8" t="inlineStr">
        <is>
          <t>PLT – Platform behaviour and configuration</t>
        </is>
      </c>
      <c r="B56" s="9">
        <f>COUNTIF(Cases!$D:$D,"PLT")</f>
        <v/>
      </c>
      <c r="C56" s="9">
        <f>COUNTIFS(Cases!$D:$D,"PLT",Cases!$L:$L,"Passed")</f>
        <v/>
      </c>
      <c r="D56" s="9">
        <f>COUNTIFS(Cases!$D:$D,"PLT",Cases!$L:$L,"Failed")</f>
        <v/>
      </c>
      <c r="E56" s="9">
        <f>COUNTIFS(Cases!$D:$D,"PLT",Cases!$L:$L,"Blocked")</f>
        <v/>
      </c>
      <c r="F56" s="9">
        <f>COUNTIFS(Cases!$D:$D,"PLT",Cases!$L:$L,"Not executed")</f>
        <v/>
      </c>
      <c r="G56" s="9" t="n">
        <v>101</v>
      </c>
      <c r="H56" s="9">
        <f>IF(B56=G56,"OK","DRIFT")</f>
        <v/>
      </c>
    </row>
    <row r="57">
      <c r="A57" s="11" t="inlineStr">
        <is>
          <t>Total</t>
        </is>
      </c>
      <c r="B57" s="12">
        <f>SUM(B35:B56)</f>
        <v/>
      </c>
      <c r="C57" s="12">
        <f>SUM(C35:C56)</f>
        <v/>
      </c>
      <c r="D57" s="12">
        <f>SUM(D35:D56)</f>
        <v/>
      </c>
      <c r="E57" s="12">
        <f>SUM(E35:E56)</f>
        <v/>
      </c>
      <c r="F57" s="12">
        <f>SUM(F35:F56)</f>
        <v/>
      </c>
      <c r="G57" s="12">
        <f>SUM(G35:G56)</f>
        <v/>
      </c>
      <c r="H57" s="12">
        <f>IF(B57=G57,"OK","DRIFT")</f>
        <v/>
      </c>
    </row>
    <row r="59" ht="18" customHeight="1">
      <c r="A59" s="5" t="inlineStr">
        <is>
          <t>Cases by automation</t>
        </is>
      </c>
    </row>
    <row r="60" ht="20" customHeight="1">
      <c r="A60" s="7" t="inlineStr">
        <is>
          <t>Automation</t>
        </is>
      </c>
      <c r="B60" s="7" t="inlineStr">
        <is>
          <t>Cases</t>
        </is>
      </c>
      <c r="C60" s="7" t="inlineStr">
        <is>
          <t>Catalogue</t>
        </is>
      </c>
      <c r="D60" s="7" t="inlineStr">
        <is>
          <t>Check</t>
        </is>
      </c>
    </row>
    <row r="61">
      <c r="A61" s="8" t="inlineStr">
        <is>
          <t>Automated</t>
        </is>
      </c>
      <c r="B61" s="9">
        <f>COUNTIF(Cases!$K:$K,"Automated*")</f>
        <v/>
      </c>
      <c r="C61" s="9" t="n">
        <v>223</v>
      </c>
      <c r="D61" s="9">
        <f>IF(B61=C61,"OK","DRIFT")</f>
        <v/>
      </c>
    </row>
    <row r="62">
      <c r="A62" s="8" t="inlineStr">
        <is>
          <t>Executed – API run</t>
        </is>
      </c>
      <c r="B62" s="9">
        <f>COUNTIF(Cases!$K:$K,"Executed*")</f>
        <v/>
      </c>
      <c r="C62" s="9" t="n">
        <v>113</v>
      </c>
      <c r="D62" s="9">
        <f>IF(B62=C62,"OK","DRIFT")</f>
        <v/>
      </c>
    </row>
    <row r="63">
      <c r="A63" s="8" t="inlineStr">
        <is>
          <t>Manual</t>
        </is>
      </c>
      <c r="B63" s="9">
        <f>COUNTIF(Cases!$K:$K,"Manual*")</f>
        <v/>
      </c>
      <c r="C63" s="9" t="n">
        <v>51</v>
      </c>
      <c r="D63" s="9">
        <f>IF(B63=C63,"OK","DRIFT")</f>
        <v/>
      </c>
    </row>
    <row r="64">
      <c r="A64" s="8" t="inlineStr">
        <is>
          <t>Not automated</t>
        </is>
      </c>
      <c r="B64" s="9">
        <f>COUNTIF(Cases!$K:$K,"Not automated")</f>
        <v/>
      </c>
      <c r="C64" s="9" t="n">
        <v>51</v>
      </c>
      <c r="D64" s="9">
        <f>IF(B64=C64,"OK","DRIFT")</f>
        <v/>
      </c>
    </row>
    <row r="66" ht="18" customHeight="1">
      <c r="A66" s="5" t="inlineStr">
        <is>
          <t>Defects</t>
        </is>
      </c>
    </row>
    <row r="67" ht="20" customHeight="1">
      <c r="A67" s="7" t="inlineStr">
        <is>
          <t>Item</t>
        </is>
      </c>
      <c r="B67" s="7" t="inlineStr">
        <is>
          <t>Count</t>
        </is>
      </c>
      <c r="C67" s="7" t="inlineStr">
        <is>
          <t>Catalogue</t>
        </is>
      </c>
      <c r="D67" s="7" t="inlineStr">
        <is>
          <t>Check</t>
        </is>
      </c>
    </row>
    <row r="68">
      <c r="A68" s="8" t="inlineStr">
        <is>
          <t>Defects recorded</t>
        </is>
      </c>
      <c r="B68" s="9">
        <f>COUNTA(Defects!A:A)-1</f>
        <v/>
      </c>
      <c r="C68" s="9" t="n">
        <v>2</v>
      </c>
      <c r="D68" s="9">
        <f>IF(B68=C68,"OK","DRIFT")</f>
        <v/>
      </c>
    </row>
    <row r="69">
      <c r="A69" s="8" t="inlineStr">
        <is>
          <t>Cases with a defect reference</t>
        </is>
      </c>
      <c r="B69" s="9">
        <f>COUNTIF(Cases!$P:$P,"DEF-*")</f>
        <v/>
      </c>
      <c r="C69" s="9" t="n">
        <v>2</v>
      </c>
      <c r="D69" s="9">
        <f>IF(B69=C69,"OK","DRIFT")</f>
        <v/>
      </c>
    </row>
  </sheetData>
  <printOptions horizontalCentered="1"/>
  <pageMargins left="0.4" right="0.4" top="0.6" bottom="0.6" header="0.5" footer="0.5"/>
  <pageSetup orientation="landscape" paperSize="9" fitToHeight="0" fitToWidth="1"/>
  <headerFooter>
    <oddHeader>&amp;R&amp;8 iorta TechNXT | IIFT Agent/Banca Portal &amp; Back-office</oddHeader>
    <oddFooter>&amp;L&amp;8 Commercial-in-Confidence | IIFT-SV2-TCS v1.0&amp;R&amp;8 &amp;A | 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F58220"/>
    <outlinePr summaryBelow="1" summaryRight="1"/>
    <pageSetUpPr fitToPage="1"/>
  </sheetPr>
  <dimension ref="A1:I71"/>
  <sheetViews>
    <sheetView showGridLines="0" zoomScale="9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6" customWidth="1" min="2" max="2"/>
    <col width="22" customWidth="1" min="3" max="3"/>
    <col width="24" customWidth="1" min="4" max="4"/>
    <col width="60" customWidth="1" min="5" max="5"/>
    <col width="34" customWidth="1" min="6" max="6"/>
    <col width="40" customWidth="1" min="7" max="7"/>
    <col width="11" customWidth="1" min="8" max="8"/>
    <col width="9" customWidth="1" min="9" max="9"/>
  </cols>
  <sheetData>
    <row r="1" ht="30" customHeight="1">
      <c r="A1" s="14" t="inlineStr">
        <is>
          <t>ID</t>
        </is>
      </c>
      <c r="B1" s="14" t="inlineStr">
        <is>
          <t>Area</t>
        </is>
      </c>
      <c r="C1" s="14" t="inlineStr">
        <is>
          <t>RFP IDs</t>
        </is>
      </c>
      <c r="D1" s="14" t="inlineStr">
        <is>
          <t>Persona</t>
        </is>
      </c>
      <c r="E1" s="14" t="inlineStr">
        <is>
          <t>Scenario</t>
        </is>
      </c>
      <c r="F1" s="14" t="inlineStr">
        <is>
          <t>Pre-conditions</t>
        </is>
      </c>
      <c r="G1" s="14" t="inlineStr">
        <is>
          <t>Expected end state</t>
        </is>
      </c>
      <c r="H1" s="14" t="inlineStr">
        <is>
          <t>Conditions</t>
        </is>
      </c>
      <c r="I1" s="14" t="inlineStr">
        <is>
          <t>Cases</t>
        </is>
      </c>
    </row>
    <row r="2">
      <c r="A2" s="15" t="inlineStr">
        <is>
          <t>TS-01</t>
        </is>
      </c>
      <c r="B2" s="16" t="inlineStr">
        <is>
          <t>AUT – Authentication and session</t>
        </is>
      </c>
      <c r="C2" s="16" t="inlineStr">
        <is>
          <t>AP-01, BO-01, NFR-09</t>
        </is>
      </c>
      <c r="D2" s="16" t="inlineStr">
        <is>
          <t>Agent, bank officer, staff</t>
        </is>
      </c>
      <c r="E2" s="16" t="inlineStr">
        <is>
          <t>Sign in with a user name and password; wrong credentials are refused without revealing which part was wrong.</t>
        </is>
      </c>
      <c r="F2" s="16" t="inlineStr">
        <is>
          <t>Demonstration users loaded; account active.</t>
        </is>
      </c>
      <c r="G2" s="16" t="inlineStr">
        <is>
          <t>Session established; failed attempts recorded in the audit trail.</t>
        </is>
      </c>
      <c r="H2" s="15">
        <f>COUNTIF(Conditions!$B:$B,A2)</f>
        <v/>
      </c>
      <c r="I2" s="15">
        <f>COUNTIF(Cases!$B:$B,A2)</f>
        <v/>
      </c>
    </row>
    <row r="3">
      <c r="A3" s="15" t="inlineStr">
        <is>
          <t>TS-02</t>
        </is>
      </c>
      <c r="B3" s="16" t="inlineStr">
        <is>
          <t>AUT – Authentication and session</t>
        </is>
      </c>
      <c r="C3" s="16" t="inlineStr">
        <is>
          <t>AP-02, NFR-09</t>
        </is>
      </c>
      <c r="D3" s="16" t="inlineStr">
        <is>
          <t>Any user, administrator</t>
        </is>
      </c>
      <c r="E3" s="16" t="inlineStr">
        <is>
          <t>Change a password under the configurable policy (length, character classes, history, expiry, no user name); temporary passwords must be changed at first sign-in.</t>
        </is>
      </c>
      <c r="F3" s="16" t="inlineStr">
        <is>
          <t>Signed in; password parameters at defaults.</t>
        </is>
      </c>
      <c r="G3" s="16" t="inlineStr">
        <is>
          <t>Password changed; other sessions ended; policy breaches refused.</t>
        </is>
      </c>
      <c r="H3" s="15">
        <f>COUNTIF(Conditions!$B:$B,A3)</f>
        <v/>
      </c>
      <c r="I3" s="15">
        <f>COUNTIF(Cases!$B:$B,A3)</f>
        <v/>
      </c>
    </row>
    <row r="4">
      <c r="A4" s="15" t="inlineStr">
        <is>
          <t>TS-03</t>
        </is>
      </c>
      <c r="B4" s="16" t="inlineStr">
        <is>
          <t>AUT – Authentication and session</t>
        </is>
      </c>
      <c r="C4" s="16" t="inlineStr">
        <is>
          <t>AP-03, NFR-09</t>
        </is>
      </c>
      <c r="D4" s="16" t="inlineStr">
        <is>
          <t>Any user</t>
        </is>
      </c>
      <c r="E4" s="16" t="inlineStr">
        <is>
          <t>Session management: cookie flags, new session id at sign-in, logout revocation, single active session, idle and absolute timeout.</t>
        </is>
      </c>
      <c r="F4" s="16" t="inlineStr">
        <is>
          <t>Signed in.</t>
        </is>
      </c>
      <c r="G4" s="16" t="inlineStr">
        <is>
          <t>Old sessions unusable; timeouts applied from parameters.</t>
        </is>
      </c>
      <c r="H4" s="15">
        <f>COUNTIF(Conditions!$B:$B,A4)</f>
        <v/>
      </c>
      <c r="I4" s="15">
        <f>COUNTIF(Cases!$B:$B,A4)</f>
        <v/>
      </c>
    </row>
    <row r="5">
      <c r="A5" s="15" t="inlineStr">
        <is>
          <t>TS-04</t>
        </is>
      </c>
      <c r="B5" s="16" t="inlineStr">
        <is>
          <t>AUT – Authentication and session</t>
        </is>
      </c>
      <c r="C5" s="16" t="inlineStr">
        <is>
          <t>AP-04, NFR-09</t>
        </is>
      </c>
      <c r="D5" s="16" t="inlineStr">
        <is>
          <t>Any user, administrator</t>
        </is>
      </c>
      <c r="E5" s="16" t="inlineStr">
        <is>
          <t>Account lockout after the configured failed attempts and administrator unlock.</t>
        </is>
      </c>
      <c r="F5" s="16" t="inlineStr">
        <is>
          <t>Lockout parameters at defaults (5 attempts, 30 minutes).</t>
        </is>
      </c>
      <c r="G5" s="16" t="inlineStr">
        <is>
          <t>Account locked then unlocked; events audited.</t>
        </is>
      </c>
      <c r="H5" s="15">
        <f>COUNTIF(Conditions!$B:$B,A5)</f>
        <v/>
      </c>
      <c r="I5" s="15">
        <f>COUNTIF(Cases!$B:$B,A5)</f>
        <v/>
      </c>
    </row>
    <row r="6">
      <c r="A6" s="15" t="inlineStr">
        <is>
          <t>TS-05</t>
        </is>
      </c>
      <c r="B6" s="16" t="inlineStr">
        <is>
          <t>AUT – Authentication and session</t>
        </is>
      </c>
      <c r="C6" s="16" t="inlineStr">
        <is>
          <t>INT-06, BO-01</t>
        </is>
      </c>
      <c r="D6" s="16" t="inlineStr">
        <is>
          <t>Back-office staff</t>
        </is>
      </c>
      <c r="E6" s="16" t="inlineStr">
        <is>
          <t>Back-office sign-on through the corporate directory (LDAP/Active Directory) with escaped filters.</t>
        </is>
      </c>
      <c r="F6" s="16" t="inlineStr">
        <is>
          <t>LDAP configured (IIFT environment).</t>
        </is>
      </c>
      <c r="G6" s="16" t="inlineStr">
        <is>
          <t>Directory users sign in; local accounts unaffected.</t>
        </is>
      </c>
      <c r="H6" s="15">
        <f>COUNTIF(Conditions!$B:$B,A6)</f>
        <v/>
      </c>
      <c r="I6" s="15">
        <f>COUNTIF(Cases!$B:$B,A6)</f>
        <v/>
      </c>
    </row>
    <row r="7">
      <c r="A7" s="15" t="inlineStr">
        <is>
          <t>TS-06</t>
        </is>
      </c>
      <c r="B7" s="16" t="inlineStr">
        <is>
          <t>ACC – Access control and data scoping</t>
        </is>
      </c>
      <c r="C7" s="16" t="inlineStr">
        <is>
          <t>AP-59, BO-02, COM-02, NFR-10</t>
        </is>
      </c>
      <c r="D7" s="16" t="inlineStr">
        <is>
          <t>All personas</t>
        </is>
      </c>
      <c r="E7" s="16" t="inlineStr">
        <is>
          <t>Role-based access: every route checks a permission; portal and back-office audiences are separate; roles grant least privilege.</t>
        </is>
      </c>
      <c r="F7" s="16" t="inlineStr">
        <is>
          <t>Demonstration roles loaded.</t>
        </is>
      </c>
      <c r="G7" s="16" t="inlineStr">
        <is>
          <t>Unauthorised calls refused with 401/403; authorised calls succeed.</t>
        </is>
      </c>
      <c r="H7" s="15">
        <f>COUNTIF(Conditions!$B:$B,A7)</f>
        <v/>
      </c>
      <c r="I7" s="15">
        <f>COUNTIF(Cases!$B:$B,A7)</f>
        <v/>
      </c>
    </row>
    <row r="8">
      <c r="A8" s="15" t="inlineStr">
        <is>
          <t>TS-07</t>
        </is>
      </c>
      <c r="B8" s="16" t="inlineStr">
        <is>
          <t>ACC – Access control and data scoping</t>
        </is>
      </c>
      <c r="C8" s="16" t="inlineStr">
        <is>
          <t>AP-09, AP-11, AP-12, AP-59, COM-02</t>
        </is>
      </c>
      <c r="D8" s="16" t="inlineStr">
        <is>
          <t>Agents, bank officers, supervisors</t>
        </is>
      </c>
      <c r="E8" s="16" t="inlineStr">
        <is>
          <t>Data scoping: agents see their own and their sub-agents' records; principals and bank supervisors see the whole agency/bank; other agencies' records are not disclosed.</t>
        </is>
      </c>
      <c r="F8" s="16" t="inlineStr">
        <is>
          <t>Two agencies and one bank with business.</t>
        </is>
      </c>
      <c r="G8" s="16" t="inlineStr">
        <is>
          <t>Records outside the scope answer 404/403; participant profile shared only through exact-ID lookup.</t>
        </is>
      </c>
      <c r="H8" s="15">
        <f>COUNTIF(Conditions!$B:$B,A8)</f>
        <v/>
      </c>
      <c r="I8" s="15">
        <f>COUNTIF(Cases!$B:$B,A8)</f>
        <v/>
      </c>
    </row>
    <row r="9">
      <c r="A9" s="15" t="inlineStr">
        <is>
          <t>TS-08</t>
        </is>
      </c>
      <c r="B9" s="16" t="inlineStr">
        <is>
          <t>AGT – Agent and agency management</t>
        </is>
      </c>
      <c r="C9" s="16" t="inlineStr">
        <is>
          <t>AP-07, AP-08, AP-48, BO-10, BO-11</t>
        </is>
      </c>
      <c r="D9" s="16" t="inlineStr">
        <is>
          <t>Agency principal, operations checker</t>
        </is>
      </c>
      <c r="E9" s="16" t="inlineStr">
        <is>
          <t>Online registration of a sub-agent with AML screening, document upload and maker-checker approval; agent code generated; portal account created.</t>
        </is>
      </c>
      <c r="F9" s="16" t="inlineStr">
        <is>
          <t>Principal signed in; checker available.</t>
        </is>
      </c>
      <c r="G9" s="16" t="inlineStr">
        <is>
          <t>Agent ACTIVE with a unique code and a user that must change its temporary password.</t>
        </is>
      </c>
      <c r="H9" s="15">
        <f>COUNTIF(Conditions!$B:$B,A9)</f>
        <v/>
      </c>
      <c r="I9" s="15">
        <f>COUNTIF(Cases!$B:$B,A9)</f>
        <v/>
      </c>
    </row>
    <row r="10">
      <c r="A10" s="15" t="inlineStr">
        <is>
          <t>TS-09</t>
        </is>
      </c>
      <c r="B10" s="16" t="inlineStr">
        <is>
          <t>AGT – Agent and agency management</t>
        </is>
      </c>
      <c r="C10" s="16" t="inlineStr">
        <is>
          <t>AP-05, AP-06, AP-09, AP-10, BO-08</t>
        </is>
      </c>
      <c r="D10" s="16" t="inlineStr">
        <is>
          <t>Agent, bank officer</t>
        </is>
      </c>
      <c r="E10" s="16" t="inlineStr">
        <is>
          <t>Profile, agency information and hierarchy views; profile changes submitted for approval and withdrawable by the maker.</t>
        </is>
      </c>
      <c r="F10" s="16" t="inlineStr">
        <is>
          <t>Signed in as a sub-agent.</t>
        </is>
      </c>
      <c r="G10" s="16" t="inlineStr">
        <is>
          <t>Profile request pending or withdrawn; hierarchy shows the reporting line.</t>
        </is>
      </c>
      <c r="H10" s="15">
        <f>COUNTIF(Conditions!$B:$B,A10)</f>
        <v/>
      </c>
      <c r="I10" s="15">
        <f>COUNTIF(Cases!$B:$B,A10)</f>
        <v/>
      </c>
    </row>
    <row r="11">
      <c r="A11" s="15" t="inlineStr">
        <is>
          <t>TS-10</t>
        </is>
      </c>
      <c r="B11" s="16" t="inlineStr">
        <is>
          <t>AGT – Agent and agency management</t>
        </is>
      </c>
      <c r="C11" s="16" t="inlineStr">
        <is>
          <t>BO-05, BO-06, BO-07, BO-08, BO-09</t>
        </is>
      </c>
      <c r="D11" s="16" t="inlineStr">
        <is>
          <t>Operations maker/checker, manager</t>
        </is>
      </c>
      <c r="E11" s="16" t="inlineStr">
        <is>
          <t>Back-office agent and agency administration: search, status changes with allowed transitions, agency creation and maintenance, payment-block lift.</t>
        </is>
      </c>
      <c r="F11" s="16" t="inlineStr">
        <is>
          <t>Back-office user with the relevant permissions.</t>
        </is>
      </c>
      <c r="G11" s="16" t="inlineStr">
        <is>
          <t>Changes applied after approval; invalid transitions refused.</t>
        </is>
      </c>
      <c r="H11" s="15">
        <f>COUNTIF(Conditions!$B:$B,A11)</f>
        <v/>
      </c>
      <c r="I11" s="15">
        <f>COUNTIF(Cases!$B:$B,A11)</f>
        <v/>
      </c>
    </row>
    <row r="12">
      <c r="A12" s="15" t="inlineStr">
        <is>
          <t>TS-11</t>
        </is>
      </c>
      <c r="B12" s="16" t="inlineStr">
        <is>
          <t>PAR – Participant management</t>
        </is>
      </c>
      <c r="C12" s="16" t="inlineStr">
        <is>
          <t>AP-13, AP-14, AP-15, AP-48, NFR-30</t>
        </is>
      </c>
      <c r="D12" s="16" t="inlineStr">
        <is>
          <t>Agent, operations checker</t>
        </is>
      </c>
      <c r="E12" s="16" t="inlineStr">
        <is>
          <t>Register individual and corporate participants with validation, search them, and submit profile updates for approval.</t>
        </is>
      </c>
      <c r="F12" s="16" t="inlineStr">
        <is>
          <t>Signed in as an agent.</t>
        </is>
      </c>
      <c r="G12" s="16" t="inlineStr">
        <is>
          <t>Participant number assigned; updates applied after approval.</t>
        </is>
      </c>
      <c r="H12" s="15">
        <f>COUNTIF(Conditions!$B:$B,A12)</f>
        <v/>
      </c>
      <c r="I12" s="15">
        <f>COUNTIF(Cases!$B:$B,A12)</f>
        <v/>
      </c>
    </row>
    <row r="13">
      <c r="A13" s="15" t="inlineStr">
        <is>
          <t>TS-12</t>
        </is>
      </c>
      <c r="B13" s="16" t="inlineStr">
        <is>
          <t>PAR – Participant management</t>
        </is>
      </c>
      <c r="C13" s="16" t="inlineStr">
        <is>
          <t>AP-11, AP-12, COM-01</t>
        </is>
      </c>
      <c r="D13" s="16" t="inlineStr">
        <is>
          <t>Agents of different agencies</t>
        </is>
      </c>
      <c r="E13" s="16" t="inlineStr">
        <is>
          <t>Single shared participant profile: duplicate identification numbers refused, exact-ID lookup across agencies returns a masked summary, full profile visible once business exists.</t>
        </is>
      </c>
      <c r="F13" s="16" t="inlineStr">
        <is>
          <t>Participant registered by agency A.</t>
        </is>
      </c>
      <c r="G13" s="16" t="inlineStr">
        <is>
          <t>No duplicate profiles; cross-agency visibility limited as designed.</t>
        </is>
      </c>
      <c r="H13" s="15">
        <f>COUNTIF(Conditions!$B:$B,A13)</f>
        <v/>
      </c>
      <c r="I13" s="15">
        <f>COUNTIF(Cases!$B:$B,A13)</f>
        <v/>
      </c>
    </row>
    <row r="14">
      <c r="A14" s="15" t="inlineStr">
        <is>
          <t>TS-13</t>
        </is>
      </c>
      <c r="B14" s="16" t="inlineStr">
        <is>
          <t>AML – AML/KYC screening</t>
        </is>
      </c>
      <c r="C14" s="16" t="inlineStr">
        <is>
          <t>AP-16, BO-13, BO-14, BO-15</t>
        </is>
      </c>
      <c r="D14" s="16" t="inlineStr">
        <is>
          <t>Agent, compliance officer</t>
        </is>
      </c>
      <c r="E14" s="16" t="inlineStr">
        <is>
          <t>Watch-list screening of participants and agents at registration; matches above the threshold routed to Compliance; decisions recorded with dates and remarks.</t>
        </is>
      </c>
      <c r="F14" s="16" t="inlineStr">
        <is>
          <t>Watch-lists loaded; threshold 85.</t>
        </is>
      </c>
      <c r="G14" s="16" t="inlineStr">
        <is>
          <t>Cleared subjects proceed; confirmed matches rejected and blocked from business.</t>
        </is>
      </c>
      <c r="H14" s="15">
        <f>COUNTIF(Conditions!$B:$B,A14)</f>
        <v/>
      </c>
      <c r="I14" s="15">
        <f>COUNTIF(Cases!$B:$B,A14)</f>
        <v/>
      </c>
    </row>
    <row r="15">
      <c r="A15" s="15" t="inlineStr">
        <is>
          <t>TS-14</t>
        </is>
      </c>
      <c r="B15" s="16" t="inlineStr">
        <is>
          <t>AML – AML/KYC screening</t>
        </is>
      </c>
      <c r="C15" s="16" t="inlineStr">
        <is>
          <t>BO-13, BO-32</t>
        </is>
      </c>
      <c r="D15" s="16" t="inlineStr">
        <is>
          <t>Compliance officer</t>
        </is>
      </c>
      <c r="E15" s="16" t="inlineStr">
        <is>
          <t>Watch-list maintenance: manual entries, CSV import with validation, deactivation.</t>
        </is>
      </c>
      <c r="F15" s="16" t="inlineStr">
        <is>
          <t>Compliance signed in.</t>
        </is>
      </c>
      <c r="G15" s="16" t="inlineStr">
        <is>
          <t>Watch-list updated and used by the next screening.</t>
        </is>
      </c>
      <c r="H15" s="15">
        <f>COUNTIF(Conditions!$B:$B,A15)</f>
        <v/>
      </c>
      <c r="I15" s="15">
        <f>COUNTIF(Cases!$B:$B,A15)</f>
        <v/>
      </c>
    </row>
    <row r="16">
      <c r="A16" s="15" t="inlineStr">
        <is>
          <t>TS-15</t>
        </is>
      </c>
      <c r="B16" s="16" t="inlineStr">
        <is>
          <t>PRD – Products and rating</t>
        </is>
      </c>
      <c r="C16" s="16" t="inlineStr">
        <is>
          <t>AP-17, AP-18, AP-19, FFR01</t>
        </is>
      </c>
      <c r="D16" s="16" t="inlineStr">
        <is>
          <t>Bank officer, agent</t>
        </is>
      </c>
      <c r="E16" s="16" t="inlineStr">
        <is>
          <t>Financing Takaful (Hire Purchase, Non-Participating, Property): contribution from amount, period, profit rate and age next birthday; high-risk limit; age at expiry.</t>
        </is>
      </c>
      <c r="F16" s="16" t="inlineStr">
        <is>
          <t>Participant registered.</t>
        </is>
      </c>
      <c r="G16" s="16" t="inlineStr">
        <is>
          <t>Correct contribution and referral reasons.</t>
        </is>
      </c>
      <c r="H16" s="15">
        <f>COUNTIF(Conditions!$B:$B,A16)</f>
        <v/>
      </c>
      <c r="I16" s="15">
        <f>COUNTIF(Cases!$B:$B,A16)</f>
        <v/>
      </c>
    </row>
    <row r="17">
      <c r="A17" s="15" t="inlineStr">
        <is>
          <t>TS-16</t>
        </is>
      </c>
      <c r="B17" s="16" t="inlineStr">
        <is>
          <t>PRD – Products and rating</t>
        </is>
      </c>
      <c r="C17" s="16" t="inlineStr">
        <is>
          <t>AP-17, AP-18, AP-19, FFR03</t>
        </is>
      </c>
      <c r="D17" s="16" t="inlineStr">
        <is>
          <t>Agent</t>
        </is>
      </c>
      <c r="E17" s="16" t="inlineStr">
        <is>
          <t>Professional Takaful Plan: Plans A/B/C with optional additional cover; Occupational Class I only.</t>
        </is>
      </c>
      <c r="F17" s="16" t="inlineStr">
        <is>
          <t>Participant with occupation class.</t>
        </is>
      </c>
      <c r="G17" s="16" t="inlineStr">
        <is>
          <t>Correct contribution; ineligible classes refused.</t>
        </is>
      </c>
      <c r="H17" s="15">
        <f>COUNTIF(Conditions!$B:$B,A17)</f>
        <v/>
      </c>
      <c r="I17" s="15">
        <f>COUNTIF(Cases!$B:$B,A17)</f>
        <v/>
      </c>
    </row>
    <row r="18">
      <c r="A18" s="15" t="inlineStr">
        <is>
          <t>TS-17</t>
        </is>
      </c>
      <c r="B18" s="16" t="inlineStr">
        <is>
          <t>PRD – Products and rating</t>
        </is>
      </c>
      <c r="C18" s="16" t="inlineStr">
        <is>
          <t>AP-17, AP-18, AP-19, FFR04</t>
        </is>
      </c>
      <c r="D18" s="16" t="inlineStr">
        <is>
          <t>Agent</t>
        </is>
      </c>
      <c r="E18" s="16" t="inlineStr">
        <is>
          <t>Khairat Takaful Plan: Plans A/B/C, Individual or Wider (Child) cover; no portal renewal.</t>
        </is>
      </c>
      <c r="F18" s="16" t="inlineStr">
        <is>
          <t>Participant registered.</t>
        </is>
      </c>
      <c r="G18" s="16" t="inlineStr">
        <is>
          <t>Correct contribution with loading; renewal refused.</t>
        </is>
      </c>
      <c r="H18" s="15">
        <f>COUNTIF(Conditions!$B:$B,A18)</f>
        <v/>
      </c>
      <c r="I18" s="15">
        <f>COUNTIF(Cases!$B:$B,A18)</f>
        <v/>
      </c>
    </row>
    <row r="19">
      <c r="A19" s="15" t="inlineStr">
        <is>
          <t>TS-18</t>
        </is>
      </c>
      <c r="B19" s="16" t="inlineStr">
        <is>
          <t>PRD – Products and rating</t>
        </is>
      </c>
      <c r="C19" s="16" t="inlineStr">
        <is>
          <t>AP-17, AP-18, AP-19, FFR02</t>
        </is>
      </c>
      <c r="D19" s="16" t="inlineStr">
        <is>
          <t>Agent</t>
        </is>
      </c>
      <c r="E19" s="16" t="inlineStr">
        <is>
          <t>Personal Home Assistant Takaful Plan: 1- or 2-year cover with helper details and documents.</t>
        </is>
      </c>
      <c r="F19" s="16" t="inlineStr">
        <is>
          <t>Participant registered.</t>
        </is>
      </c>
      <c r="G19" s="16" t="inlineStr">
        <is>
          <t>Correct contribution per period.</t>
        </is>
      </c>
      <c r="H19" s="15">
        <f>COUNTIF(Conditions!$B:$B,A19)</f>
        <v/>
      </c>
      <c r="I19" s="15">
        <f>COUNTIF(Cases!$B:$B,A19)</f>
        <v/>
      </c>
    </row>
    <row r="20">
      <c r="A20" s="15" t="inlineStr">
        <is>
          <t>TS-19</t>
        </is>
      </c>
      <c r="B20" s="16" t="inlineStr">
        <is>
          <t>PRD – Products and rating</t>
        </is>
      </c>
      <c r="C20" s="16" t="inlineStr">
        <is>
          <t>AP-17, AP-18, AP-19, FFR05</t>
        </is>
      </c>
      <c r="D20" s="16" t="inlineStr">
        <is>
          <t>Agent</t>
        </is>
      </c>
      <c r="E20" s="16" t="inlineStr">
        <is>
          <t>Overseas Student Assist Takaful Plan: Basic/Tertiary plans; eligibility (Brunei citizen, registered student, up to 65).</t>
        </is>
      </c>
      <c r="F20" s="16" t="inlineStr">
        <is>
          <t>Participant registered.</t>
        </is>
      </c>
      <c r="G20" s="16" t="inlineStr">
        <is>
          <t>Ineligible participants refused; eligible ones rated.</t>
        </is>
      </c>
      <c r="H20" s="15">
        <f>COUNTIF(Conditions!$B:$B,A20)</f>
        <v/>
      </c>
      <c r="I20" s="15">
        <f>COUNTIF(Cases!$B:$B,A20)</f>
        <v/>
      </c>
    </row>
    <row r="21">
      <c r="A21" s="15" t="inlineStr">
        <is>
          <t>TS-20</t>
        </is>
      </c>
      <c r="B21" s="16" t="inlineStr">
        <is>
          <t>PRD – Products and rating</t>
        </is>
      </c>
      <c r="C21" s="16" t="inlineStr">
        <is>
          <t>BO-33, COM-09</t>
        </is>
      </c>
      <c r="D21" s="16" t="inlineStr">
        <is>
          <t>Administrator</t>
        </is>
      </c>
      <c r="E21" s="16" t="inlineStr">
        <is>
          <t>Product configuration (rates, plans, documents, questionnaire, flags) maintained in the back-office without code changes and validated on save.</t>
        </is>
      </c>
      <c r="F21" s="16" t="inlineStr">
        <is>
          <t>Administrator signed in.</t>
        </is>
      </c>
      <c r="G21" s="16" t="inlineStr">
        <is>
          <t>Valid configuration saved and used by the next quotation; invalid configuration refused.</t>
        </is>
      </c>
      <c r="H21" s="15">
        <f>COUNTIF(Conditions!$B:$B,A21)</f>
        <v/>
      </c>
      <c r="I21" s="15">
        <f>COUNTIF(Cases!$B:$B,A21)</f>
        <v/>
      </c>
    </row>
    <row r="22">
      <c r="A22" s="15" t="inlineStr">
        <is>
          <t>TS-21</t>
        </is>
      </c>
      <c r="B22" s="16" t="inlineStr">
        <is>
          <t>QUO – Quotation and submission</t>
        </is>
      </c>
      <c r="C22" s="16" t="inlineStr">
        <is>
          <t>AP-18, AP-20, AP-49, AP-50</t>
        </is>
      </c>
      <c r="D22" s="16" t="inlineStr">
        <is>
          <t>Agent</t>
        </is>
      </c>
      <c r="E22" s="16" t="inlineStr">
        <is>
          <t>Create, save, change, reopen and discard a draft quotation; quotation validity period.</t>
        </is>
      </c>
      <c r="F22" s="16" t="inlineStr">
        <is>
          <t>Product and participant available.</t>
        </is>
      </c>
      <c r="G22" s="16" t="inlineStr">
        <is>
          <t>Draft quotation with a quotation number; discarded drafts not submittable.</t>
        </is>
      </c>
      <c r="H22" s="15">
        <f>COUNTIF(Conditions!$B:$B,A22)</f>
        <v/>
      </c>
      <c r="I22" s="15">
        <f>COUNTIF(Cases!$B:$B,A22)</f>
        <v/>
      </c>
    </row>
    <row r="23">
      <c r="A23" s="15" t="inlineStr">
        <is>
          <t>TS-22</t>
        </is>
      </c>
      <c r="B23" s="16" t="inlineStr">
        <is>
          <t>QUO – Quotation and submission</t>
        </is>
      </c>
      <c r="C23" s="16" t="inlineStr">
        <is>
          <t>AP-32, AP-36, AP-46, AP-62</t>
        </is>
      </c>
      <c r="D23" s="16" t="inlineStr">
        <is>
          <t>Agent</t>
        </is>
      </c>
      <c r="E23" s="16" t="inlineStr">
        <is>
          <t>Submission checks: questionnaire complete, nominee shares, mandatory documents per product, participant signature (on screen, e-signature link or signed form).</t>
        </is>
      </c>
      <c r="F23" s="16" t="inlineStr">
        <is>
          <t>Draft quotation.</t>
        </is>
      </c>
      <c r="G23" s="16" t="inlineStr">
        <is>
          <t>Submission refused with a list of problems until complete.</t>
        </is>
      </c>
      <c r="H23" s="15">
        <f>COUNTIF(Conditions!$B:$B,A23)</f>
        <v/>
      </c>
      <c r="I23" s="15">
        <f>COUNTIF(Cases!$B:$B,A23)</f>
        <v/>
      </c>
    </row>
    <row r="24">
      <c r="A24" s="15" t="inlineStr">
        <is>
          <t>TS-23</t>
        </is>
      </c>
      <c r="B24" s="16" t="inlineStr">
        <is>
          <t>QUO – Quotation and submission</t>
        </is>
      </c>
      <c r="C24" s="16" t="inlineStr">
        <is>
          <t>AP-62</t>
        </is>
      </c>
      <c r="D24" s="16" t="inlineStr">
        <is>
          <t>Agent, participant</t>
        </is>
      </c>
      <c r="E24" s="16" t="inlineStr">
        <is>
          <t>Remote e-signature: one-time link e-mailed to the participant, public review page, name confirmation, consent, signature; link expiry and reuse.</t>
        </is>
      </c>
      <c r="F24" s="16" t="inlineStr">
        <is>
          <t>Draft quotation with participant e-mail.</t>
        </is>
      </c>
      <c r="G24" s="16" t="inlineStr">
        <is>
          <t>Signature document stored; link unusable afterwards.</t>
        </is>
      </c>
      <c r="H24" s="15">
        <f>COUNTIF(Conditions!$B:$B,A24)</f>
        <v/>
      </c>
      <c r="I24" s="15">
        <f>COUNTIF(Cases!$B:$B,A24)</f>
        <v/>
      </c>
    </row>
    <row r="25">
      <c r="A25" s="15" t="inlineStr">
        <is>
          <t>TS-24</t>
        </is>
      </c>
      <c r="B25" s="16" t="inlineStr">
        <is>
          <t>QUO – Quotation and submission</t>
        </is>
      </c>
      <c r="C25" s="16" t="inlineStr">
        <is>
          <t>AP-25, AP-32, AP-33, AP-36, AP-60, FFR01</t>
        </is>
      </c>
      <c r="D25" s="16" t="inlineStr">
        <is>
          <t>Agent, bank officer</t>
        </is>
      </c>
      <c r="E25" s="16" t="inlineStr">
        <is>
          <t>Submit an eligible application: pay-before-issuance products go to PENDING_PAYMENT; referral reasons (declarations, high-risk limit, authority limit, quality check) route to PENDING_APPROVAL; AML and agency block gates.</t>
        </is>
      </c>
      <c r="F25" s="16" t="inlineStr">
        <is>
          <t>Complete application.</t>
        </is>
      </c>
      <c r="G25" s="16" t="inlineStr">
        <is>
          <t>Correct next status and workflow request.</t>
        </is>
      </c>
      <c r="H25" s="15">
        <f>COUNTIF(Conditions!$B:$B,A25)</f>
        <v/>
      </c>
      <c r="I25" s="15">
        <f>COUNTIF(Cases!$B:$B,A25)</f>
        <v/>
      </c>
    </row>
    <row r="26">
      <c r="A26" s="15" t="inlineStr">
        <is>
          <t>TS-25</t>
        </is>
      </c>
      <c r="B26" s="16" t="inlineStr">
        <is>
          <t>WFL – Approval workflow (maker-checker)</t>
        </is>
      </c>
      <c r="C26" s="16" t="inlineStr">
        <is>
          <t>BO-16, BO-17, BO-18, BO-19, COM-04, AP-61</t>
        </is>
      </c>
      <c r="D26" s="16" t="inlineStr">
        <is>
          <t>Makers and checkers</t>
        </is>
      </c>
      <c r="E26" s="16" t="inlineStr">
        <is>
          <t>Configurable maker-checker workflow: inbox by permission, approve/reject with mandatory remarks, segregation of duties, amount-based levels, withdrawal, history.</t>
        </is>
      </c>
      <c r="F26" s="16" t="inlineStr">
        <is>
          <t>Workflow definitions loaded.</t>
        </is>
      </c>
      <c r="G26" s="16" t="inlineStr">
        <is>
          <t>Requests decided once by an authorised different user; history and remarks retained.</t>
        </is>
      </c>
      <c r="H26" s="15">
        <f>COUNTIF(Conditions!$B:$B,A26)</f>
        <v/>
      </c>
      <c r="I26" s="15">
        <f>COUNTIF(Cases!$B:$B,A26)</f>
        <v/>
      </c>
    </row>
    <row r="27">
      <c r="A27" s="15" t="inlineStr">
        <is>
          <t>TS-26</t>
        </is>
      </c>
      <c r="B27" s="16" t="inlineStr">
        <is>
          <t>WFL – Approval workflow (maker-checker)</t>
        </is>
      </c>
      <c r="C27" s="16" t="inlineStr">
        <is>
          <t>AP-51, AP-54, BO-19</t>
        </is>
      </c>
      <c r="D27" s="16" t="inlineStr">
        <is>
          <t>Agent</t>
        </is>
      </c>
      <c r="E27" s="16" t="inlineStr">
        <is>
          <t>Rejection remarks and status changes are visible to the maker in 'My requests' and in notifications; resubmission where applicable.</t>
        </is>
      </c>
      <c r="F27" s="16" t="inlineStr">
        <is>
          <t>A rejected request exists.</t>
        </is>
      </c>
      <c r="G27" s="16" t="inlineStr">
        <is>
          <t>Maker sees the reason and can act.</t>
        </is>
      </c>
      <c r="H27" s="15">
        <f>COUNTIF(Conditions!$B:$B,A27)</f>
        <v/>
      </c>
      <c r="I27" s="15">
        <f>COUNTIF(Cases!$B:$B,A27)</f>
        <v/>
      </c>
    </row>
    <row r="28">
      <c r="A28" s="15" t="inlineStr">
        <is>
          <t>TS-27</t>
        </is>
      </c>
      <c r="B28" s="16" t="inlineStr">
        <is>
          <t>POL – Policy issuance and policy documents</t>
        </is>
      </c>
      <c r="C28" s="16" t="inlineStr">
        <is>
          <t>AP-21, AP-22, AP-23, AP-24, AP-31</t>
        </is>
      </c>
      <c r="D28" s="16" t="inlineStr">
        <is>
          <t>Agent, back-office</t>
        </is>
      </c>
      <c r="E28" s="16" t="inlineStr">
        <is>
          <t>Policy listing, search and filters, detail with cover, participant, nominees, payment status and the transaction history.</t>
        </is>
      </c>
      <c r="F28" s="16" t="inlineStr">
        <is>
          <t>Policies in several statuses.</t>
        </is>
      </c>
      <c r="G28" s="16" t="inlineStr">
        <is>
          <t>Correct lists and detail; statuses Draft, Pending approval, Pending payment, Active, Rejected, Expired, Cancelled.</t>
        </is>
      </c>
      <c r="H28" s="15">
        <f>COUNTIF(Conditions!$B:$B,A28)</f>
        <v/>
      </c>
      <c r="I28" s="15">
        <f>COUNTIF(Cases!$B:$B,A28)</f>
        <v/>
      </c>
    </row>
    <row r="29">
      <c r="A29" s="15" t="inlineStr">
        <is>
          <t>TS-28</t>
        </is>
      </c>
      <c r="B29" s="16" t="inlineStr">
        <is>
          <t>POL – Policy issuance and policy documents</t>
        </is>
      </c>
      <c r="C29" s="16" t="inlineStr">
        <is>
          <t>AP-41, AP-44, AP-45, AP-29, COM-06, FFR03</t>
        </is>
      </c>
      <c r="D29" s="16" t="inlineStr">
        <is>
          <t>Agent, finance</t>
        </is>
      </c>
      <c r="E29" s="16" t="inlineStr">
        <is>
          <t>Issuance on payment verification or approval: policy number, e-Policy schedule and e-Receipt generated as PDF, downloadable and e-mailable; Core/FIN messages queued.</t>
        </is>
      </c>
      <c r="F29" s="16" t="inlineStr">
        <is>
          <t>Submitted application with verified payment.</t>
        </is>
      </c>
      <c r="G29" s="16" t="inlineStr">
        <is>
          <t>ACTIVE policy with documents and outbox messages.</t>
        </is>
      </c>
      <c r="H29" s="15">
        <f>COUNTIF(Conditions!$B:$B,A29)</f>
        <v/>
      </c>
      <c r="I29" s="15">
        <f>COUNTIF(Cases!$B:$B,A29)</f>
        <v/>
      </c>
    </row>
    <row r="30">
      <c r="A30" s="15" t="inlineStr">
        <is>
          <t>TS-29</t>
        </is>
      </c>
      <c r="B30" s="16" t="inlineStr">
        <is>
          <t>POL – Policy issuance and policy documents</t>
        </is>
      </c>
      <c r="C30" s="16" t="inlineStr">
        <is>
          <t>AP-21, AP-26, AP-34</t>
        </is>
      </c>
      <c r="D30" s="16" t="inlineStr">
        <is>
          <t>System (scheduled job)</t>
        </is>
      </c>
      <c r="E30" s="16" t="inlineStr">
        <is>
          <t>Daily expiry job moves policies past their end date to EXPIRED and notifies agents; renewal notices within the notice period.</t>
        </is>
      </c>
      <c r="F30" s="16" t="inlineStr">
        <is>
          <t>Policies with past end dates.</t>
        </is>
      </c>
      <c r="G30" s="16" t="inlineStr">
        <is>
          <t>Statuses updated; notifications recorded.</t>
        </is>
      </c>
      <c r="H30" s="15">
        <f>COUNTIF(Conditions!$B:$B,A30)</f>
        <v/>
      </c>
      <c r="I30" s="15">
        <f>COUNTIF(Cases!$B:$B,A30)</f>
        <v/>
      </c>
    </row>
    <row r="31">
      <c r="A31" s="15" t="inlineStr">
        <is>
          <t>TS-30</t>
        </is>
      </c>
      <c r="B31" s="16" t="inlineStr">
        <is>
          <t>BIL – Billing and payments</t>
        </is>
      </c>
      <c r="C31" s="16" t="inlineStr">
        <is>
          <t>AP-37, AP-30</t>
        </is>
      </c>
      <c r="D31" s="16" t="inlineStr">
        <is>
          <t>Agent, bank officer</t>
        </is>
      </c>
      <c r="E31" s="16" t="inlineStr">
        <is>
          <t>Billing dashboard: outstanding, overdue, due soon and pending-verification figures; outstanding list per policy; payment history.</t>
        </is>
      </c>
      <c r="F31" s="16" t="inlineStr">
        <is>
          <t>Policies awaiting payment.</t>
        </is>
      </c>
      <c r="G31" s="16" t="inlineStr">
        <is>
          <t>Figures reconcile with the policy list.</t>
        </is>
      </c>
      <c r="H31" s="15">
        <f>COUNTIF(Conditions!$B:$B,A31)</f>
        <v/>
      </c>
      <c r="I31" s="15">
        <f>COUNTIF(Cases!$B:$B,A31)</f>
        <v/>
      </c>
    </row>
    <row r="32">
      <c r="A32" s="15" t="inlineStr">
        <is>
          <t>TS-31</t>
        </is>
      </c>
      <c r="B32" s="16" t="inlineStr">
        <is>
          <t>BIL – Billing and payments</t>
        </is>
      </c>
      <c r="C32" s="16" t="inlineStr">
        <is>
          <t>AP-38, AP-39, AP-40, AP-41</t>
        </is>
      </c>
      <c r="D32" s="16" t="inlineStr">
        <is>
          <t>Bank officer, finance</t>
        </is>
      </c>
      <c r="E32" s="16" t="inlineStr">
        <is>
          <t>Bulk payment: one transfer or cheque allocated per policy with proof upload; Finance verifies or rejects; receipts generated on approval.</t>
        </is>
      </c>
      <c r="F32" s="16" t="inlineStr">
        <is>
          <t>Policies awaiting payment.</t>
        </is>
      </c>
      <c r="G32" s="16" t="inlineStr">
        <is>
          <t>Payment VERIFIED or REJECTED; receipt and FIN posting on approval.</t>
        </is>
      </c>
      <c r="H32" s="15">
        <f>COUNTIF(Conditions!$B:$B,A32)</f>
        <v/>
      </c>
      <c r="I32" s="15">
        <f>COUNTIF(Cases!$B:$B,A32)</f>
        <v/>
      </c>
    </row>
    <row r="33">
      <c r="A33" s="15" t="inlineStr">
        <is>
          <t>TS-32</t>
        </is>
      </c>
      <c r="B33" s="16" t="inlineStr">
        <is>
          <t>BIL – Billing and payments</t>
        </is>
      </c>
      <c r="C33" s="16" t="inlineStr">
        <is>
          <t>AP-42, FFR01</t>
        </is>
      </c>
      <c r="D33" s="16" t="inlineStr">
        <is>
          <t>Bank officer, system</t>
        </is>
      </c>
      <c r="E33" s="16" t="inlineStr">
        <is>
          <t>Grace period and issuance block: financing policies issued before payment with a 7-day due date; the daily job blocks every agent of an agency/bank with overdue contributions and lifts the block when settled.</t>
        </is>
      </c>
      <c r="F33" s="16" t="inlineStr">
        <is>
          <t>Issue-then-pay policy unpaid past the due date.</t>
        </is>
      </c>
      <c r="G33" s="16" t="inlineStr">
        <is>
          <t>Agency blocked; submissions refused; block lifted after payment.</t>
        </is>
      </c>
      <c r="H33" s="15">
        <f>COUNTIF(Conditions!$B:$B,A33)</f>
        <v/>
      </c>
      <c r="I33" s="15">
        <f>COUNTIF(Cases!$B:$B,A33)</f>
        <v/>
      </c>
    </row>
    <row r="34">
      <c r="A34" s="15" t="inlineStr">
        <is>
          <t>TS-33</t>
        </is>
      </c>
      <c r="B34" s="16" t="inlineStr">
        <is>
          <t>BIL – Billing and payments</t>
        </is>
      </c>
      <c r="C34" s="16" t="inlineStr">
        <is>
          <t>INT-05, INT-04</t>
        </is>
      </c>
      <c r="D34" s="16" t="inlineStr">
        <is>
          <t>Agent, finance</t>
        </is>
      </c>
      <c r="E34" s="16" t="inlineStr">
        <is>
          <t>Commission statement: accrued commission per issued policy and paid status from FIN.</t>
        </is>
      </c>
      <c r="F34" s="16" t="inlineStr">
        <is>
          <t>Issued policies with commission rates.</t>
        </is>
      </c>
      <c r="G34" s="16" t="inlineStr">
        <is>
          <t>Statement visible to the agent; paid status updated through the inbound API.</t>
        </is>
      </c>
      <c r="H34" s="15">
        <f>COUNTIF(Conditions!$B:$B,A34)</f>
        <v/>
      </c>
      <c r="I34" s="15">
        <f>COUNTIF(Cases!$B:$B,A34)</f>
        <v/>
      </c>
    </row>
    <row r="35">
      <c r="A35" s="15" t="inlineStr">
        <is>
          <t>TS-34</t>
        </is>
      </c>
      <c r="B35" s="16" t="inlineStr">
        <is>
          <t>SVC – Policy servicing: renewal, endorsement, cancellation</t>
        </is>
      </c>
      <c r="C35" s="16" t="inlineStr">
        <is>
          <t>AP-26, FFR03</t>
        </is>
      </c>
      <c r="D35" s="16" t="inlineStr">
        <is>
          <t>Agent</t>
        </is>
      </c>
      <c r="E35" s="16" t="inlineStr">
        <is>
          <t>Renewal: policies due within the notice period listed; renewal quotation created from the expiring policy; window and product rules enforced.</t>
        </is>
      </c>
      <c r="F35" s="16" t="inlineStr">
        <is>
          <t>Renewable policy near its end date.</t>
        </is>
      </c>
      <c r="G35" s="16" t="inlineStr">
        <is>
          <t>Renewal quotation DRAFT carrying nominees; duplicates refused.</t>
        </is>
      </c>
      <c r="H35" s="15">
        <f>COUNTIF(Conditions!$B:$B,A35)</f>
        <v/>
      </c>
      <c r="I35" s="15">
        <f>COUNTIF(Cases!$B:$B,A35)</f>
        <v/>
      </c>
    </row>
    <row r="36">
      <c r="A36" s="15" t="inlineStr">
        <is>
          <t>TS-35</t>
        </is>
      </c>
      <c r="B36" s="16" t="inlineStr">
        <is>
          <t>SVC – Policy servicing: renewal, endorsement, cancellation</t>
        </is>
      </c>
      <c r="C36" s="16" t="inlineStr">
        <is>
          <t>AP-27, BO-16</t>
        </is>
      </c>
      <c r="D36" s="16" t="inlineStr">
        <is>
          <t>Agent, operations checker</t>
        </is>
      </c>
      <c r="E36" s="16" t="inlineStr">
        <is>
          <t>Endorsement request (nominee change, correction, contact details) approved by the servicing checker; changes applied on approval.</t>
        </is>
      </c>
      <c r="F36" s="16" t="inlineStr">
        <is>
          <t>Active policy.</t>
        </is>
      </c>
      <c r="G36" s="16" t="inlineStr">
        <is>
          <t>Policy updated; request history kept.</t>
        </is>
      </c>
      <c r="H36" s="15">
        <f>COUNTIF(Conditions!$B:$B,A36)</f>
        <v/>
      </c>
      <c r="I36" s="15">
        <f>COUNTIF(Cases!$B:$B,A36)</f>
        <v/>
      </c>
    </row>
    <row r="37">
      <c r="A37" s="15" t="inlineStr">
        <is>
          <t>TS-36</t>
        </is>
      </c>
      <c r="B37" s="16" t="inlineStr">
        <is>
          <t>SVC – Policy servicing: renewal, endorsement, cancellation</t>
        </is>
      </c>
      <c r="C37" s="16" t="inlineStr">
        <is>
          <t>AP-28, BO-19</t>
        </is>
      </c>
      <c r="D37" s="16" t="inlineStr">
        <is>
          <t>Agent, operations checker</t>
        </is>
      </c>
      <c r="E37" s="16" t="inlineStr">
        <is>
          <t>Cancellation request with reason, effective date and remarks; approval cancels the policy, rejection keeps it in force.</t>
        </is>
      </c>
      <c r="F37" s="16" t="inlineStr">
        <is>
          <t>Active policy.</t>
        </is>
      </c>
      <c r="G37" s="16" t="inlineStr">
        <is>
          <t>Status CANCELLED on approval; ACTIVE on rejection.</t>
        </is>
      </c>
      <c r="H37" s="15">
        <f>COUNTIF(Conditions!$B:$B,A37)</f>
        <v/>
      </c>
      <c r="I37" s="15">
        <f>COUNTIF(Cases!$B:$B,A37)</f>
        <v/>
      </c>
    </row>
    <row r="38">
      <c r="A38" s="15" t="inlineStr">
        <is>
          <t>TS-37</t>
        </is>
      </c>
      <c r="B38" s="16" t="inlineStr">
        <is>
          <t>CLM – Claims notification</t>
        </is>
      </c>
      <c r="C38" s="16" t="inlineStr">
        <is>
          <t>AP-43</t>
        </is>
      </c>
      <c r="D38" s="16" t="inlineStr">
        <is>
          <t>Agent, operations</t>
        </is>
      </c>
      <c r="E38" s="16" t="inlineStr">
        <is>
          <t>Claim notification: validate the policy, check the event date against the period of cover, upload supporting documents, track the claim through review statuses.</t>
        </is>
      </c>
      <c r="F38" s="16" t="inlineStr">
        <is>
          <t>In-force policy.</t>
        </is>
      </c>
      <c r="G38" s="16" t="inlineStr">
        <is>
          <t>Claim number assigned; status transitions enforced; visible to the agent.</t>
        </is>
      </c>
      <c r="H38" s="15">
        <f>COUNTIF(Conditions!$B:$B,A38)</f>
        <v/>
      </c>
      <c r="I38" s="15">
        <f>COUNTIF(Cases!$B:$B,A38)</f>
        <v/>
      </c>
    </row>
    <row r="39">
      <c r="A39" s="15" t="inlineStr">
        <is>
          <t>TS-38</t>
        </is>
      </c>
      <c r="B39" s="16" t="inlineStr">
        <is>
          <t>DOC – Documents and uploads</t>
        </is>
      </c>
      <c r="C39" s="16" t="inlineStr">
        <is>
          <t>AP-46, AP-47, COM-06, NFR-30</t>
        </is>
      </c>
      <c r="D39" s="16" t="inlineStr">
        <is>
          <t>Agent, operations checker</t>
        </is>
      </c>
      <c r="E39" s="16" t="inlineStr">
        <is>
          <t>Document upload with content inspection, size limit and malware scan; encrypted storage; document status, validity and expiry; back-office verification queue.</t>
        </is>
      </c>
      <c r="F39" s="16" t="inlineStr">
        <is>
          <t>Signed in with an owner record.</t>
        </is>
      </c>
      <c r="G39" s="16" t="inlineStr">
        <is>
          <t>Only PDF/PNG/JPEG stored; status VERIFIED/REJECTED with remarks.</t>
        </is>
      </c>
      <c r="H39" s="15">
        <f>COUNTIF(Conditions!$B:$B,A39)</f>
        <v/>
      </c>
      <c r="I39" s="15">
        <f>COUNTIF(Cases!$B:$B,A39)</f>
        <v/>
      </c>
    </row>
    <row r="40">
      <c r="A40" s="15" t="inlineStr">
        <is>
          <t>TS-39</t>
        </is>
      </c>
      <c r="B40" s="16" t="inlineStr">
        <is>
          <t>DOC – Documents and uploads</t>
        </is>
      </c>
      <c r="C40" s="16" t="inlineStr">
        <is>
          <t>BO-11, BO-12</t>
        </is>
      </c>
      <c r="D40" s="16" t="inlineStr">
        <is>
          <t>Operations checker</t>
        </is>
      </c>
      <c r="E40" s="16" t="inlineStr">
        <is>
          <t>Agent document validation: completeness per ID type (IC copy or passport copy) checked before registration approval; expiry warnings.</t>
        </is>
      </c>
      <c r="F40" s="16" t="inlineStr">
        <is>
          <t>Pending agent registration.</t>
        </is>
      </c>
      <c r="G40" s="16" t="inlineStr">
        <is>
          <t>Approval blocked until documents complete.</t>
        </is>
      </c>
      <c r="H40" s="15">
        <f>COUNTIF(Conditions!$B:$B,A40)</f>
        <v/>
      </c>
      <c r="I40" s="15">
        <f>COUNTIF(Cases!$B:$B,A40)</f>
        <v/>
      </c>
    </row>
    <row r="41">
      <c r="A41" s="15" t="inlineStr">
        <is>
          <t>TS-40</t>
        </is>
      </c>
      <c r="B41" s="16" t="inlineStr">
        <is>
          <t>DSH – Dashboards and notifications</t>
        </is>
      </c>
      <c r="C41" s="16" t="inlineStr">
        <is>
          <t>AP-52, AP-53, BO-20, BO-21</t>
        </is>
      </c>
      <c r="D41" s="16" t="inlineStr">
        <is>
          <t>Agent, management, operations</t>
        </is>
      </c>
      <c r="E41" s="16" t="inlineStr">
        <is>
          <t>Portal dashboard with profile, production, pending actions (drafts, rejected, blocked); management dashboard with KPIs and 12-month trend; back-office pending-action views.</t>
        </is>
      </c>
      <c r="F41" s="16" t="inlineStr">
        <is>
          <t>Demonstration data loaded.</t>
        </is>
      </c>
      <c r="G41" s="16" t="inlineStr">
        <is>
          <t>Figures match the underlying records.</t>
        </is>
      </c>
      <c r="H41" s="15">
        <f>COUNTIF(Conditions!$B:$B,A41)</f>
        <v/>
      </c>
      <c r="I41" s="15">
        <f>COUNTIF(Cases!$B:$B,A41)</f>
        <v/>
      </c>
    </row>
    <row r="42">
      <c r="A42" s="15" t="inlineStr">
        <is>
          <t>TS-41</t>
        </is>
      </c>
      <c r="B42" s="16" t="inlineStr">
        <is>
          <t>DSH – Dashboards and notifications</t>
        </is>
      </c>
      <c r="C42" s="16" t="inlineStr">
        <is>
          <t>AP-34, AP-54, COM-05, INT-07, INT-08</t>
        </is>
      </c>
      <c r="D42" s="16" t="inlineStr">
        <is>
          <t>All users</t>
        </is>
      </c>
      <c r="E42" s="16" t="inlineStr">
        <is>
          <t>Notification framework: in-app notifications for status changes, approvals, rejections and SLA events; e-mail and SMS delivery through the configured gateways with retry.</t>
        </is>
      </c>
      <c r="F42" s="16" t="inlineStr">
        <is>
          <t>Events raised.</t>
        </is>
      </c>
      <c r="G42" s="16" t="inlineStr">
        <is>
          <t>In-app list and unread count correct; e-mail/SMS recorded and delivered.</t>
        </is>
      </c>
      <c r="H42" s="15">
        <f>COUNTIF(Conditions!$B:$B,A42)</f>
        <v/>
      </c>
      <c r="I42" s="15">
        <f>COUNTIF(Cases!$B:$B,A42)</f>
        <v/>
      </c>
    </row>
    <row r="43">
      <c r="A43" s="15" t="inlineStr">
        <is>
          <t>TS-42</t>
        </is>
      </c>
      <c r="B43" s="16" t="inlineStr">
        <is>
          <t>ISS – Issue management and SLA</t>
        </is>
      </c>
      <c r="C43" s="16" t="inlineStr">
        <is>
          <t>AP-55, AP-56, AP-57, BO-29, BO-30, BO-31</t>
        </is>
      </c>
      <c r="D43" s="16" t="inlineStr">
        <is>
          <t>Agent, support desk</t>
        </is>
      </c>
      <c r="E43" s="16" t="inlineStr">
        <is>
          <t>Issue lifecycle: report with reference number, attach evidence, assign, prioritise, comment (internal/public), resolve, close; SLA targets and breach alerts.</t>
        </is>
      </c>
      <c r="F43" s="16" t="inlineStr">
        <is>
          <t>Support users exist.</t>
        </is>
      </c>
      <c r="G43" s="16" t="inlineStr">
        <is>
          <t>Issue closed with SLA dates; breaches flagged.</t>
        </is>
      </c>
      <c r="H43" s="15">
        <f>COUNTIF(Conditions!$B:$B,A43)</f>
        <v/>
      </c>
      <c r="I43" s="15">
        <f>COUNTIF(Cases!$B:$B,A43)</f>
        <v/>
      </c>
    </row>
    <row r="44">
      <c r="A44" s="15" t="inlineStr">
        <is>
          <t>TS-43</t>
        </is>
      </c>
      <c r="B44" s="16" t="inlineStr">
        <is>
          <t>RPT – Reporting</t>
        </is>
      </c>
      <c r="C44" s="16" t="inlineStr">
        <is>
          <t>BO-22, BO-23, BO-24, COM-08</t>
        </is>
      </c>
      <c r="D44" s="16" t="inlineStr">
        <is>
          <t>Manager, back-office</t>
        </is>
      </c>
      <c r="E44" s="16" t="inlineStr">
        <is>
          <t>Twelve standard reports with filters (date, agent, agency, status) and export to XLSX, CSV and PDF.</t>
        </is>
      </c>
      <c r="F44" s="16" t="inlineStr">
        <is>
          <t>Demonstration data loaded.</t>
        </is>
      </c>
      <c r="G44" s="16" t="inlineStr">
        <is>
          <t>Reports run and export correctly.</t>
        </is>
      </c>
      <c r="H44" s="15">
        <f>COUNTIF(Conditions!$B:$B,A44)</f>
        <v/>
      </c>
      <c r="I44" s="15">
        <f>COUNTIF(Cases!$B:$B,A44)</f>
        <v/>
      </c>
    </row>
    <row r="45">
      <c r="A45" s="15" t="inlineStr">
        <is>
          <t>TS-44</t>
        </is>
      </c>
      <c r="B45" s="16" t="inlineStr">
        <is>
          <t>RPT – Reporting</t>
        </is>
      </c>
      <c r="C45" s="16" t="inlineStr">
        <is>
          <t>AP-58</t>
        </is>
      </c>
      <c r="D45" s="16" t="inlineStr">
        <is>
          <t>Agent</t>
        </is>
      </c>
      <c r="E45" s="16" t="inlineStr">
        <is>
          <t>Portal reports limited to the agent's role and scope.</t>
        </is>
      </c>
      <c r="F45" s="16" t="inlineStr">
        <is>
          <t>Agent signed in.</t>
        </is>
      </c>
      <c r="G45" s="16" t="inlineStr">
        <is>
          <t>Only permitted reports, own records.</t>
        </is>
      </c>
      <c r="H45" s="15">
        <f>COUNTIF(Conditions!$B:$B,A45)</f>
        <v/>
      </c>
      <c r="I45" s="15">
        <f>COUNTIF(Cases!$B:$B,A45)</f>
        <v/>
      </c>
    </row>
    <row r="46">
      <c r="A46" s="15" t="inlineStr">
        <is>
          <t>TS-45</t>
        </is>
      </c>
      <c r="B46" s="16" t="inlineStr">
        <is>
          <t>RPT – Reporting</t>
        </is>
      </c>
      <c r="C46" s="16" t="inlineStr">
        <is>
          <t>BO-25</t>
        </is>
      </c>
      <c r="D46" s="16" t="inlineStr">
        <is>
          <t>Manager, system</t>
        </is>
      </c>
      <c r="E46" s="16" t="inlineStr">
        <is>
          <t>Scheduled report generation and e-mail distribution (daily, weekly, monthly).</t>
        </is>
      </c>
      <c r="F46" s="16" t="inlineStr">
        <is>
          <t>Schedule configured.</t>
        </is>
      </c>
      <c r="G46" s="16" t="inlineStr">
        <is>
          <t>Report generated at the due time and e-mailed.</t>
        </is>
      </c>
      <c r="H46" s="15">
        <f>COUNTIF(Conditions!$B:$B,A46)</f>
        <v/>
      </c>
      <c r="I46" s="15">
        <f>COUNTIF(Cases!$B:$B,A46)</f>
        <v/>
      </c>
    </row>
    <row r="47">
      <c r="A47" s="15" t="inlineStr">
        <is>
          <t>TS-46</t>
        </is>
      </c>
      <c r="B47" s="16" t="inlineStr">
        <is>
          <t>AUD – Audit trail</t>
        </is>
      </c>
      <c r="C47" s="16" t="inlineStr">
        <is>
          <t>AP-35, AP-61, BO-26, BO-27, BO-28, COM-03, NFR-11</t>
        </is>
      </c>
      <c r="D47" s="16" t="inlineStr">
        <is>
          <t>Auditor, manager</t>
        </is>
      </c>
      <c r="E47" s="16" t="inlineStr">
        <is>
          <t>Audit trail of user activities, transactions, approvals and configuration changes with before/after values, user, time and IP; searchable; append-only.</t>
        </is>
      </c>
      <c r="F47" s="16" t="inlineStr">
        <is>
          <t>Activity performed.</t>
        </is>
      </c>
      <c r="G47" s="16" t="inlineStr">
        <is>
          <t>Records present, searchable and immutable.</t>
        </is>
      </c>
      <c r="H47" s="15">
        <f>COUNTIF(Conditions!$B:$B,A47)</f>
        <v/>
      </c>
      <c r="I47" s="15">
        <f>COUNTIF(Cases!$B:$B,A47)</f>
        <v/>
      </c>
    </row>
    <row r="48">
      <c r="A48" s="15" t="inlineStr">
        <is>
          <t>TS-47</t>
        </is>
      </c>
      <c r="B48" s="16" t="inlineStr">
        <is>
          <t>ADM – Administration and configuration</t>
        </is>
      </c>
      <c r="C48" s="16" t="inlineStr">
        <is>
          <t>BO-03</t>
        </is>
      </c>
      <c r="D48" s="16" t="inlineStr">
        <is>
          <t>Administrator</t>
        </is>
      </c>
      <c r="E48" s="16" t="inlineStr">
        <is>
          <t>User administration: create, update, disable, unlock, reset password; audience and self-service rules.</t>
        </is>
      </c>
      <c r="F48" s="16" t="inlineStr">
        <is>
          <t>Administrator signed in.</t>
        </is>
      </c>
      <c r="G48" s="16" t="inlineStr">
        <is>
          <t>User changes applied and audited.</t>
        </is>
      </c>
      <c r="H48" s="15">
        <f>COUNTIF(Conditions!$B:$B,A48)</f>
        <v/>
      </c>
      <c r="I48" s="15">
        <f>COUNTIF(Cases!$B:$B,A48)</f>
        <v/>
      </c>
    </row>
    <row r="49">
      <c r="A49" s="15" t="inlineStr">
        <is>
          <t>TS-48</t>
        </is>
      </c>
      <c r="B49" s="16" t="inlineStr">
        <is>
          <t>ADM – Administration and configuration</t>
        </is>
      </c>
      <c r="C49" s="16" t="inlineStr">
        <is>
          <t>BO-04</t>
        </is>
      </c>
      <c r="D49" s="16" t="inlineStr">
        <is>
          <t>Administrator</t>
        </is>
      </c>
      <c r="E49" s="16" t="inlineStr">
        <is>
          <t>Role and permission management: create roles per audience, assign permissions, protect system roles.</t>
        </is>
      </c>
      <c r="F49" s="16" t="inlineStr">
        <is>
          <t>Administrator signed in.</t>
        </is>
      </c>
      <c r="G49" s="16" t="inlineStr">
        <is>
          <t>Roles saved; invalid permissions refused.</t>
        </is>
      </c>
      <c r="H49" s="15">
        <f>COUNTIF(Conditions!$B:$B,A49)</f>
        <v/>
      </c>
      <c r="I49" s="15">
        <f>COUNTIF(Cases!$B:$B,A49)</f>
        <v/>
      </c>
    </row>
    <row r="50">
      <c r="A50" s="15" t="inlineStr">
        <is>
          <t>TS-49</t>
        </is>
      </c>
      <c r="B50" s="16" t="inlineStr">
        <is>
          <t>ADM – Administration and configuration</t>
        </is>
      </c>
      <c r="C50" s="16" t="inlineStr">
        <is>
          <t>BO-32, BO-33, COM-09</t>
        </is>
      </c>
      <c r="D50" s="16" t="inlineStr">
        <is>
          <t>Administrator</t>
        </is>
      </c>
      <c r="E50" s="16" t="inlineStr">
        <is>
          <t>Business parameters and master data (codes) maintained with validation, taking effect immediately and audited.</t>
        </is>
      </c>
      <c r="F50" s="16" t="inlineStr">
        <is>
          <t>Administrator signed in.</t>
        </is>
      </c>
      <c r="G50" s="16" t="inlineStr">
        <is>
          <t>Parameters applied by the next transaction; inactive codes refused.</t>
        </is>
      </c>
      <c r="H50" s="15">
        <f>COUNTIF(Conditions!$B:$B,A50)</f>
        <v/>
      </c>
      <c r="I50" s="15">
        <f>COUNTIF(Cases!$B:$B,A50)</f>
        <v/>
      </c>
    </row>
    <row r="51">
      <c r="A51" s="15" t="inlineStr">
        <is>
          <t>TS-50</t>
        </is>
      </c>
      <c r="B51" s="16" t="inlineStr">
        <is>
          <t>ADM – Administration and configuration</t>
        </is>
      </c>
      <c r="C51" s="16" t="inlineStr">
        <is>
          <t>BO-16, COM-04</t>
        </is>
      </c>
      <c r="D51" s="16" t="inlineStr">
        <is>
          <t>Administrator</t>
        </is>
      </c>
      <c r="E51" s="16" t="inlineStr">
        <is>
          <t>Workflow configuration: levels, approving permission and amount thresholds per transaction type.</t>
        </is>
      </c>
      <c r="F51" s="16" t="inlineStr">
        <is>
          <t>Administrator signed in.</t>
        </is>
      </c>
      <c r="G51" s="16" t="inlineStr">
        <is>
          <t>New configuration used by the next request.</t>
        </is>
      </c>
      <c r="H51" s="15">
        <f>COUNTIF(Conditions!$B:$B,A51)</f>
        <v/>
      </c>
      <c r="I51" s="15">
        <f>COUNTIF(Cases!$B:$B,A51)</f>
        <v/>
      </c>
    </row>
    <row r="52">
      <c r="A52" s="15" t="inlineStr">
        <is>
          <t>TS-51</t>
        </is>
      </c>
      <c r="B52" s="16" t="inlineStr">
        <is>
          <t>INT – Integration and end-of-day</t>
        </is>
      </c>
      <c r="C52" s="16" t="inlineStr">
        <is>
          <t>INT-01, INT-02, INT-03, INT-09, INT-10, INT-12</t>
        </is>
      </c>
      <c r="D52" s="16" t="inlineStr">
        <is>
          <t>Core system, IITH IT</t>
        </is>
      </c>
      <c r="E52" s="16" t="inlineStr">
        <is>
          <t>Core system integration: outbound agent/policy events through the outbox; inbound agent status synchronisation and issued-policy queries protected by an API key.</t>
        </is>
      </c>
      <c r="F52" s="16" t="inlineStr">
        <is>
          <t>Core endpoint configured or simulated.</t>
        </is>
      </c>
      <c r="G52" s="16" t="inlineStr">
        <is>
          <t>Messages delivered and acknowledged; inbound updates applied.</t>
        </is>
      </c>
      <c r="H52" s="15">
        <f>COUNTIF(Conditions!$B:$B,A52)</f>
        <v/>
      </c>
      <c r="I52" s="15">
        <f>COUNTIF(Cases!$B:$B,A52)</f>
        <v/>
      </c>
    </row>
    <row r="53">
      <c r="A53" s="15" t="inlineStr">
        <is>
          <t>TS-52</t>
        </is>
      </c>
      <c r="B53" s="16" t="inlineStr">
        <is>
          <t>INT – Integration and end-of-day</t>
        </is>
      </c>
      <c r="C53" s="16" t="inlineStr">
        <is>
          <t>INT-04, INT-05, INT-14, INT-15, FFR01, FFR02, FFR03, FFR04, FFR05</t>
        </is>
      </c>
      <c r="D53" s="16" t="inlineStr">
        <is>
          <t>Finance officer, FIN system</t>
        </is>
      </c>
      <c r="E53" s="16" t="inlineStr">
        <is>
          <t>End-of-day: daily close with EOD report, FIN interface file and postings with idempotent revisions; reconciliation of issuance and receipts with FIN/BRR.</t>
        </is>
      </c>
      <c r="F53" s="16" t="inlineStr">
        <is>
          <t>Business transacted today.</t>
        </is>
      </c>
      <c r="G53" s="16" t="inlineStr">
        <is>
          <t>EOD COMPLETED; FIN file produced; reconciliation MATCHED or MISMATCH reported.</t>
        </is>
      </c>
      <c r="H53" s="15">
        <f>COUNTIF(Conditions!$B:$B,A53)</f>
        <v/>
      </c>
      <c r="I53" s="15">
        <f>COUNTIF(Cases!$B:$B,A53)</f>
        <v/>
      </c>
    </row>
    <row r="54">
      <c r="A54" s="15" t="inlineStr">
        <is>
          <t>TS-53</t>
        </is>
      </c>
      <c r="B54" s="16" t="inlineStr">
        <is>
          <t>INT – Integration and end-of-day</t>
        </is>
      </c>
      <c r="C54" s="16" t="inlineStr">
        <is>
          <t>INT-11, INT-13, INT-14, NFR-27</t>
        </is>
      </c>
      <c r="D54" s="16" t="inlineStr">
        <is>
          <t>Finance officer, support</t>
        </is>
      </c>
      <c r="E54" s="16" t="inlineStr">
        <is>
          <t>Integration monitor: summary per system, outbox with retry and dead-letter, integration logs, alerts on dead letters.</t>
        </is>
      </c>
      <c r="F54" s="16" t="inlineStr">
        <is>
          <t>Messages in the outbox.</t>
        </is>
      </c>
      <c r="G54" s="16" t="inlineStr">
        <is>
          <t>Failures retried with back-off; dead letters visible and retriable.</t>
        </is>
      </c>
      <c r="H54" s="15">
        <f>COUNTIF(Conditions!$B:$B,A54)</f>
        <v/>
      </c>
      <c r="I54" s="15">
        <f>COUNTIF(Cases!$B:$B,A54)</f>
        <v/>
      </c>
    </row>
    <row r="55">
      <c r="A55" s="15" t="inlineStr">
        <is>
          <t>TS-54</t>
        </is>
      </c>
      <c r="B55" s="16" t="inlineStr">
        <is>
          <t>INT – Integration and end-of-day</t>
        </is>
      </c>
      <c r="C55" s="16" t="inlineStr">
        <is>
          <t>INT-06, INT-07, INT-08, COM-05</t>
        </is>
      </c>
      <c r="D55" s="16" t="inlineStr">
        <is>
          <t>IITH IT</t>
        </is>
      </c>
      <c r="E55" s="16" t="inlineStr">
        <is>
          <t>Connectivity to IIFT services: SMTP relay, SMS gateway, LDAP/AD, external AML service, Core and FIN endpoints (live mode).</t>
        </is>
      </c>
      <c r="F55" s="16" t="inlineStr">
        <is>
          <t>IIFT endpoints and credentials provided.</t>
        </is>
      </c>
      <c r="G55" s="16" t="inlineStr">
        <is>
          <t>Each adapter exchanges a real transaction end to end.</t>
        </is>
      </c>
      <c r="H55" s="15">
        <f>COUNTIF(Conditions!$B:$B,A55)</f>
        <v/>
      </c>
      <c r="I55" s="15">
        <f>COUNTIF(Cases!$B:$B,A55)</f>
        <v/>
      </c>
    </row>
    <row r="56">
      <c r="A56" s="15" t="inlineStr">
        <is>
          <t>TS-55</t>
        </is>
      </c>
      <c r="B56" s="16" t="inlineStr">
        <is>
          <t>SEC – Application security</t>
        </is>
      </c>
      <c r="C56" s="16" t="inlineStr">
        <is>
          <t>COM-01, COM-10, NFR-08</t>
        </is>
      </c>
      <c r="D56" s="16" t="inlineStr">
        <is>
          <t>Security tester</t>
        </is>
      </c>
      <c r="E56" s="16" t="inlineStr">
        <is>
          <t>Data protection: identification numbers encrypted with a blind index and shown masked; documents encrypted at rest; TLS in transit; no secrets in responses.</t>
        </is>
      </c>
      <c r="F56" s="16" t="inlineStr">
        <is>
          <t>Demonstration data.</t>
        </is>
      </c>
      <c r="G56" s="16" t="inlineStr">
        <is>
          <t>No plaintext identifiers or hashes exposed.</t>
        </is>
      </c>
      <c r="H56" s="15">
        <f>COUNTIF(Conditions!$B:$B,A56)</f>
        <v/>
      </c>
      <c r="I56" s="15">
        <f>COUNTIF(Cases!$B:$B,A56)</f>
        <v/>
      </c>
    </row>
    <row r="57">
      <c r="A57" s="15" t="inlineStr">
        <is>
          <t>TS-56</t>
        </is>
      </c>
      <c r="B57" s="16" t="inlineStr">
        <is>
          <t>SEC – Application security</t>
        </is>
      </c>
      <c r="C57" s="16" t="inlineStr">
        <is>
          <t>NFR-14, NFR-15, NFR-30</t>
        </is>
      </c>
      <c r="D57" s="16" t="inlineStr">
        <is>
          <t>Security tester</t>
        </is>
      </c>
      <c r="E57" s="16" t="inlineStr">
        <is>
          <t>Input handling: whitelist validation, mass-assignment protection, injection payloads treated as text, upload content checks, generic errors with correlation ids.</t>
        </is>
      </c>
      <c r="F57" s="16" t="inlineStr">
        <is>
          <t>Test environment.</t>
        </is>
      </c>
      <c r="G57" s="16" t="inlineStr">
        <is>
          <t>All payloads refused or neutralised; no stack traces.</t>
        </is>
      </c>
      <c r="H57" s="15">
        <f>COUNTIF(Conditions!$B:$B,A57)</f>
        <v/>
      </c>
      <c r="I57" s="15">
        <f>COUNTIF(Cases!$B:$B,A57)</f>
        <v/>
      </c>
    </row>
    <row r="58">
      <c r="A58" s="15" t="inlineStr">
        <is>
          <t>TS-57</t>
        </is>
      </c>
      <c r="B58" s="16" t="inlineStr">
        <is>
          <t>SEC – Application security</t>
        </is>
      </c>
      <c r="C58" s="16" t="inlineStr">
        <is>
          <t>NFR-12, NFR-13, NFR-14, DEL-17</t>
        </is>
      </c>
      <c r="D58" s="16" t="inlineStr">
        <is>
          <t>Security tester, independent VAPT provider</t>
        </is>
      </c>
      <c r="E58" s="16" t="inlineStr">
        <is>
          <t>Vulnerability management: SAST, secret scan, dependency audit and image scan in CI; OWASP Top 10 checks before each release; independent VAPT and re-test before go-live.</t>
        </is>
      </c>
      <c r="F58" s="16" t="inlineStr">
        <is>
          <t>CI pipeline and test environment.</t>
        </is>
      </c>
      <c r="G58" s="16" t="inlineStr">
        <is>
          <t>No open Critical/High findings at go-live.</t>
        </is>
      </c>
      <c r="H58" s="15">
        <f>COUNTIF(Conditions!$B:$B,A58)</f>
        <v/>
      </c>
      <c r="I58" s="15">
        <f>COUNTIF(Cases!$B:$B,A58)</f>
        <v/>
      </c>
    </row>
    <row r="59">
      <c r="A59" s="15" t="inlineStr">
        <is>
          <t>TS-58</t>
        </is>
      </c>
      <c r="B59" s="16" t="inlineStr">
        <is>
          <t>SEC – Application security</t>
        </is>
      </c>
      <c r="C59" s="16" t="inlineStr">
        <is>
          <t>NFR-09</t>
        </is>
      </c>
      <c r="D59" s="16" t="inlineStr">
        <is>
          <t>Back-office staff</t>
        </is>
      </c>
      <c r="E59" s="16" t="inlineStr">
        <is>
          <t>Multi-factor authentication for back-office users (e-mail OTP or TOTP).</t>
        </is>
      </c>
      <c r="F59" s="16" t="inlineStr">
        <is>
          <t>Delivered during implementation.</t>
        </is>
      </c>
      <c r="G59" s="16" t="inlineStr">
        <is>
          <t>Second factor required at sign-in.</t>
        </is>
      </c>
      <c r="H59" s="15">
        <f>COUNTIF(Conditions!$B:$B,A59)</f>
        <v/>
      </c>
      <c r="I59" s="15">
        <f>COUNTIF(Cases!$B:$B,A59)</f>
        <v/>
      </c>
    </row>
    <row r="60">
      <c r="A60" s="15" t="inlineStr">
        <is>
          <t>TS-59</t>
        </is>
      </c>
      <c r="B60" s="16" t="inlineStr">
        <is>
          <t>NFR – Non-functional: performance, availability, DR, usability</t>
        </is>
      </c>
      <c r="C60" s="16" t="inlineStr">
        <is>
          <t>NFR-01, NFR-02, NFR-03, NFR-06, NFR-07, DEL-18</t>
        </is>
      </c>
      <c r="D60" s="16" t="inlineStr">
        <is>
          <t>Performance tester</t>
        </is>
      </c>
      <c r="E60" s="16" t="inlineStr">
        <is>
          <t>Performance: response times, 100 concurrent users, transaction volumes and five-year growth; stress and soak tests.</t>
        </is>
      </c>
      <c r="F60" s="16" t="inlineStr">
        <is>
          <t>Production-like SIT environment at IIFT.</t>
        </is>
      </c>
      <c r="G60" s="16" t="inlineStr">
        <is>
          <t>Targets met and reported (DEL-18).</t>
        </is>
      </c>
      <c r="H60" s="15">
        <f>COUNTIF(Conditions!$B:$B,A60)</f>
        <v/>
      </c>
      <c r="I60" s="15">
        <f>COUNTIF(Cases!$B:$B,A60)</f>
        <v/>
      </c>
    </row>
    <row r="61">
      <c r="A61" s="15" t="inlineStr">
        <is>
          <t>TS-60</t>
        </is>
      </c>
      <c r="B61" s="16" t="inlineStr">
        <is>
          <t>NFR – Non-functional: performance, availability, DR, usability</t>
        </is>
      </c>
      <c r="C61" s="16" t="inlineStr">
        <is>
          <t>NFR-04, NFR-05, NFR-26, NFR-27, NFR-28</t>
        </is>
      </c>
      <c r="D61" s="16" t="inlineStr">
        <is>
          <t>IITH IT, support</t>
        </is>
      </c>
      <c r="E61" s="16" t="inlineStr">
        <is>
          <t>Availability and monitoring: health endpoints, metrics, log forwarding, alerts, failover of application instances and database standby.</t>
        </is>
      </c>
      <c r="F61" s="16" t="inlineStr">
        <is>
          <t>Target environment with two application instances and a standby database.</t>
        </is>
      </c>
      <c r="G61" s="16" t="inlineStr">
        <is>
          <t>Service continues through single-component failure; alerts raised.</t>
        </is>
      </c>
      <c r="H61" s="15">
        <f>COUNTIF(Conditions!$B:$B,A61)</f>
        <v/>
      </c>
      <c r="I61" s="15">
        <f>COUNTIF(Cases!$B:$B,A61)</f>
        <v/>
      </c>
    </row>
    <row r="62">
      <c r="A62" s="15" t="inlineStr">
        <is>
          <t>TS-61</t>
        </is>
      </c>
      <c r="B62" s="16" t="inlineStr">
        <is>
          <t>NFR – Non-functional: performance, availability, DR, usability</t>
        </is>
      </c>
      <c r="C62" s="16" t="inlineStr">
        <is>
          <t>NFR-17, NFR-18, NFR-19, MNT-19, MNT-20</t>
        </is>
      </c>
      <c r="D62" s="16" t="inlineStr">
        <is>
          <t>IITH IT, support</t>
        </is>
      </c>
      <c r="E62" s="16" t="inlineStr">
        <is>
          <t>Backup and disaster recovery: scheduled backups, restore drill, DR failover within RTO/RPO.</t>
        </is>
      </c>
      <c r="F62" s="16" t="inlineStr">
        <is>
          <t>Backup platform and DR site configured.</t>
        </is>
      </c>
      <c r="G62" s="16" t="inlineStr">
        <is>
          <t>Restore verified; DR drill documented.</t>
        </is>
      </c>
      <c r="H62" s="15">
        <f>COUNTIF(Conditions!$B:$B,A62)</f>
        <v/>
      </c>
      <c r="I62" s="15">
        <f>COUNTIF(Cases!$B:$B,A62)</f>
        <v/>
      </c>
    </row>
    <row r="63">
      <c r="A63" s="15" t="inlineStr">
        <is>
          <t>TS-62</t>
        </is>
      </c>
      <c r="B63" s="16" t="inlineStr">
        <is>
          <t>NFR – Non-functional: performance, availability, DR, usability</t>
        </is>
      </c>
      <c r="C63" s="16" t="inlineStr">
        <is>
          <t>NFR-22, NFR-23, NFR-24, MNT-15</t>
        </is>
      </c>
      <c r="D63" s="16" t="inlineStr">
        <is>
          <t>UAT testers</t>
        </is>
      </c>
      <c r="E63" s="16" t="inlineStr">
        <is>
          <t>Usability, browser compatibility (current Chrome, Edge, Firefox, Safari; mobile widths) and accessibility basics (keyboard, labels, contrast).</t>
        </is>
      </c>
      <c r="F63" s="16" t="inlineStr">
        <is>
          <t>UAT environment and IIFT devices.</t>
        </is>
      </c>
      <c r="G63" s="16" t="inlineStr">
        <is>
          <t>Accepted by IIFT users on the agreed browsers.</t>
        </is>
      </c>
      <c r="H63" s="15">
        <f>COUNTIF(Conditions!$B:$B,A63)</f>
        <v/>
      </c>
      <c r="I63" s="15">
        <f>COUNTIF(Cases!$B:$B,A63)</f>
        <v/>
      </c>
    </row>
    <row r="64">
      <c r="A64" s="15" t="inlineStr">
        <is>
          <t>TS-63</t>
        </is>
      </c>
      <c r="B64" s="16" t="inlineStr">
        <is>
          <t>NFR – Non-functional: performance, availability, DR, usability</t>
        </is>
      </c>
      <c r="C64" s="16" t="inlineStr">
        <is>
          <t>NFR-16</t>
        </is>
      </c>
      <c r="D64" s="16" t="inlineStr">
        <is>
          <t>Developer, QA</t>
        </is>
      </c>
      <c r="E64" s="16" t="inlineStr">
        <is>
          <t>Transaction integrity: issuance, receipt, audit and outbox commit atomically; optimistic locking on concurrent edits; numbering without gaps or duplicates.</t>
        </is>
      </c>
      <c r="F64" s="16" t="inlineStr">
        <is>
          <t>Concurrent updates simulated.</t>
        </is>
      </c>
      <c r="G64" s="16" t="inlineStr">
        <is>
          <t>No partial updates; stale edits refused with 409.</t>
        </is>
      </c>
      <c r="H64" s="15">
        <f>COUNTIF(Conditions!$B:$B,A64)</f>
        <v/>
      </c>
      <c r="I64" s="15">
        <f>COUNTIF(Cases!$B:$B,A64)</f>
        <v/>
      </c>
    </row>
    <row r="65">
      <c r="A65" s="15" t="inlineStr">
        <is>
          <t>TS-64</t>
        </is>
      </c>
      <c r="B65" s="16" t="inlineStr">
        <is>
          <t>NFR – Non-functional: performance, availability, DR, usability</t>
        </is>
      </c>
      <c r="C65" s="16" t="inlineStr">
        <is>
          <t>NFR-25, DEL-09</t>
        </is>
      </c>
      <c r="D65" s="16" t="inlineStr">
        <is>
          <t>Integration partners</t>
        </is>
      </c>
      <c r="E65" s="16" t="inlineStr">
        <is>
          <t>API standards: OpenAPI 3 contract, JSON over HTTPS, versioned paths, documented error format.</t>
        </is>
      </c>
      <c r="F65" s="16" t="inlineStr">
        <is>
          <t>OpenAPI document published.</t>
        </is>
      </c>
      <c r="G65" s="16" t="inlineStr">
        <is>
          <t>Partners build against the contract without ambiguity.</t>
        </is>
      </c>
      <c r="H65" s="15">
        <f>COUNTIF(Conditions!$B:$B,A65)</f>
        <v/>
      </c>
      <c r="I65" s="15">
        <f>COUNTIF(Cases!$B:$B,A65)</f>
        <v/>
      </c>
    </row>
    <row r="66">
      <c r="A66" s="15" t="inlineStr">
        <is>
          <t>TS-65</t>
        </is>
      </c>
      <c r="B66" s="16" t="inlineStr">
        <is>
          <t>NFR – Non-functional: performance, availability, DR, usability</t>
        </is>
      </c>
      <c r="C66" s="16" t="inlineStr">
        <is>
          <t>NFR-29, COM-07</t>
        </is>
      </c>
      <c r="D66" s="16" t="inlineStr">
        <is>
          <t>Administrator</t>
        </is>
      </c>
      <c r="E66" s="16" t="inlineStr">
        <is>
          <t>Data retention and archival policy; global search across records.</t>
        </is>
      </c>
      <c r="F66" s="16" t="inlineStr">
        <is>
          <t>Policy agreed with IIFT.</t>
        </is>
      </c>
      <c r="G66" s="16" t="inlineStr">
        <is>
          <t>Retention jobs and search behave as agreed.</t>
        </is>
      </c>
      <c r="H66" s="15">
        <f>COUNTIF(Conditions!$B:$B,A66)</f>
        <v/>
      </c>
      <c r="I66" s="15">
        <f>COUNTIF(Cases!$B:$B,A66)</f>
        <v/>
      </c>
    </row>
    <row r="67">
      <c r="A67" s="15" t="inlineStr">
        <is>
          <t>TS-66</t>
        </is>
      </c>
      <c r="B67" s="16" t="inlineStr">
        <is>
          <t>NFR – Non-functional: performance, availability, DR, usability</t>
        </is>
      </c>
      <c r="C67" s="16" t="inlineStr">
        <is>
          <t>DEL-19, COM-07</t>
        </is>
      </c>
      <c r="D67" s="16" t="inlineStr">
        <is>
          <t>iorta, IIFT data owners</t>
        </is>
      </c>
      <c r="E67" s="16" t="inlineStr">
        <is>
          <t>Data migration rehearsal: extraction, transformation, load, reconciliation of counts and control totals.</t>
        </is>
      </c>
      <c r="F67" s="16" t="inlineStr">
        <is>
          <t>Legacy extracts available.</t>
        </is>
      </c>
      <c r="G67" s="16" t="inlineStr">
        <is>
          <t>100% record count and control-total match.</t>
        </is>
      </c>
      <c r="H67" s="15">
        <f>COUNTIF(Conditions!$B:$B,A67)</f>
        <v/>
      </c>
      <c r="I67" s="15">
        <f>COUNTIF(Cases!$B:$B,A67)</f>
        <v/>
      </c>
    </row>
    <row r="68">
      <c r="A68" s="15" t="inlineStr">
        <is>
          <t>TS-67</t>
        </is>
      </c>
      <c r="B68" s="16" t="inlineStr">
        <is>
          <t>NFR – Non-functional: performance, availability, DR, usability</t>
        </is>
      </c>
      <c r="C68" s="16" t="inlineStr">
        <is>
          <t>DEL-15, DEL-16</t>
        </is>
      </c>
      <c r="D68" s="16" t="inlineStr">
        <is>
          <t>IIFT business users</t>
        </is>
      </c>
      <c r="E68" s="16" t="inlineStr">
        <is>
          <t>User acceptance testing of the end-to-end business flows per product and role, with sign-off.</t>
        </is>
      </c>
      <c r="F68" s="16" t="inlineStr">
        <is>
          <t>UAT environment with masked data; trained testers.</t>
        </is>
      </c>
      <c r="G68" s="16" t="inlineStr">
        <is>
          <t>Signed UAT certificate; no open Critical/High defects.</t>
        </is>
      </c>
      <c r="H68" s="15">
        <f>COUNTIF(Conditions!$B:$B,A68)</f>
        <v/>
      </c>
      <c r="I68" s="15">
        <f>COUNTIF(Cases!$B:$B,A68)</f>
        <v/>
      </c>
    </row>
    <row r="69">
      <c r="A69" s="15" t="inlineStr">
        <is>
          <t>TS-68</t>
        </is>
      </c>
      <c r="B69" s="16" t="inlineStr">
        <is>
          <t>NFR – Non-functional: performance, availability, DR, usability</t>
        </is>
      </c>
      <c r="C69" s="16" t="inlineStr">
        <is>
          <t>DEL-20, DEL-21</t>
        </is>
      </c>
      <c r="D69" s="16" t="inlineStr">
        <is>
          <t>iorta, IITH IT</t>
        </is>
      </c>
      <c r="E69" s="16" t="inlineStr">
        <is>
          <t>Operational readiness: deployment rehearsal, go-live checklist, rollback, hypercare entry criteria.</t>
        </is>
      </c>
      <c r="F69" s="16" t="inlineStr">
        <is>
          <t>Production environment prepared.</t>
        </is>
      </c>
      <c r="G69" s="16" t="inlineStr">
        <is>
          <t>Checklist complete; rollback tested.</t>
        </is>
      </c>
      <c r="H69" s="15">
        <f>COUNTIF(Conditions!$B:$B,A69)</f>
        <v/>
      </c>
      <c r="I69" s="15">
        <f>COUNTIF(Cases!$B:$B,A69)</f>
        <v/>
      </c>
    </row>
    <row r="70">
      <c r="A70" s="15" t="inlineStr">
        <is>
          <t>TS-69</t>
        </is>
      </c>
      <c r="B70" s="16" t="inlineStr">
        <is>
          <t>PLT – Platform behaviour and configuration</t>
        </is>
      </c>
      <c r="C70" s="16" t="inlineStr">
        <is>
          <t>NFR-15, NFR-14</t>
        </is>
      </c>
      <c r="D70" s="16" t="inlineStr">
        <is>
          <t>Developer, QA</t>
        </is>
      </c>
      <c r="E70" s="16" t="inlineStr">
        <is>
          <t>Platform behaviour: start-up configuration guards, production safety checks, generic error responses, health and readiness, API documentation switch.</t>
        </is>
      </c>
      <c r="F70" s="16" t="inlineStr">
        <is>
          <t>Configuration variants.</t>
        </is>
      </c>
      <c r="G70" s="16" t="inlineStr">
        <is>
          <t>Unsafe configuration refused at start-up; errors consistent.</t>
        </is>
      </c>
      <c r="H70" s="15">
        <f>COUNTIF(Conditions!$B:$B,A70)</f>
        <v/>
      </c>
      <c r="I70" s="15">
        <f>COUNTIF(Cases!$B:$B,A70)</f>
        <v/>
      </c>
    </row>
    <row r="71">
      <c r="A71" s="15" t="inlineStr">
        <is>
          <t>TS-70</t>
        </is>
      </c>
      <c r="B71" s="16" t="inlineStr">
        <is>
          <t>PLT – Platform behaviour and configuration</t>
        </is>
      </c>
      <c r="C71" s="16" t="inlineStr">
        <is>
          <t>NFR-22</t>
        </is>
      </c>
      <c r="D71" s="16" t="inlineStr">
        <is>
          <t>Developer, QA</t>
        </is>
      </c>
      <c r="E71" s="16" t="inlineStr">
        <is>
          <t>Web application components: API client (CSRF, session end), formatting, status display, navigation, permission gating, forms.</t>
        </is>
      </c>
      <c r="F71" s="16" t="inlineStr">
        <is>
          <t>Unit test environment.</t>
        </is>
      </c>
      <c r="G71" s="16" t="inlineStr">
        <is>
          <t>Components behave per specification.</t>
        </is>
      </c>
      <c r="H71" s="15">
        <f>COUNTIF(Conditions!$B:$B,A71)</f>
        <v/>
      </c>
      <c r="I71" s="15">
        <f>COUNTIF(Cases!$B:$B,A71)</f>
        <v/>
      </c>
    </row>
  </sheetData>
  <printOptions horizontalCentered="1"/>
  <pageMargins left="0.4" right="0.4" top="0.6" bottom="0.6" header="0.5" footer="0.5"/>
  <pageSetup orientation="landscape" paperSize="9" fitToHeight="0" fitToWidth="1"/>
  <headerFooter>
    <oddHeader>&amp;R&amp;8 iorta TechNXT | IIFT Agent/Banca Portal &amp; Back-office</oddHeader>
    <oddFooter>&amp;L&amp;8 Commercial-in-Confidence | IIFT-SV2-TCS v1.0&amp;R&amp;8 &amp;A |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F58220"/>
    <outlinePr summaryBelow="1" summaryRight="1"/>
    <pageSetUpPr fitToPage="1"/>
  </sheetPr>
  <dimension ref="A1:I197"/>
  <sheetViews>
    <sheetView showGridLines="0" zoomScale="9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26" customWidth="1" min="3" max="3"/>
    <col width="80" customWidth="1" min="4" max="4"/>
    <col width="8" customWidth="1" min="5" max="5"/>
    <col width="8" customWidth="1" min="6" max="6"/>
    <col width="8" customWidth="1" min="7" max="7"/>
    <col width="8" customWidth="1" min="8" max="8"/>
    <col width="12" customWidth="1" min="9" max="9"/>
  </cols>
  <sheetData>
    <row r="1" ht="30" customHeight="1">
      <c r="A1" s="14" t="inlineStr">
        <is>
          <t>ID</t>
        </is>
      </c>
      <c r="B1" s="14" t="inlineStr">
        <is>
          <t>Scenario</t>
        </is>
      </c>
      <c r="C1" s="14" t="inlineStr">
        <is>
          <t>Area</t>
        </is>
      </c>
      <c r="D1" s="14" t="inlineStr">
        <is>
          <t>Condition / rule under test</t>
        </is>
      </c>
      <c r="E1" s="14" t="inlineStr">
        <is>
          <t>Cases</t>
        </is>
      </c>
      <c r="F1" s="14" t="inlineStr">
        <is>
          <t>Passed</t>
        </is>
      </c>
      <c r="G1" s="14" t="inlineStr">
        <is>
          <t>Failed</t>
        </is>
      </c>
      <c r="H1" s="14" t="inlineStr">
        <is>
          <t>Blocked</t>
        </is>
      </c>
      <c r="I1" s="14" t="inlineStr">
        <is>
          <t>Not executed</t>
        </is>
      </c>
    </row>
    <row r="2">
      <c r="A2" s="15" t="inlineStr">
        <is>
          <t>TC-001</t>
        </is>
      </c>
      <c r="B2" s="15" t="inlineStr">
        <is>
          <t>TS-01</t>
        </is>
      </c>
      <c r="C2" s="16" t="inlineStr">
        <is>
          <t>AUT – Authentication and session</t>
        </is>
      </c>
      <c r="D2" s="16" t="inlineStr">
        <is>
          <t>Unknown user and wrong password return the same message and code INVALID_CREDENTIALS</t>
        </is>
      </c>
      <c r="E2" s="15">
        <f>COUNTIF(Cases!$C:$C,A2)</f>
        <v/>
      </c>
      <c r="F2" s="15">
        <f>COUNTIFS(Cases!$C:$C,A2,Cases!$L:$L,"Passed")</f>
        <v/>
      </c>
      <c r="G2" s="15">
        <f>COUNTIFS(Cases!$C:$C,A2,Cases!$L:$L,"Failed")</f>
        <v/>
      </c>
      <c r="H2" s="15">
        <f>COUNTIFS(Cases!$C:$C,A2,Cases!$L:$L,"Blocked")</f>
        <v/>
      </c>
      <c r="I2" s="15">
        <f>COUNTIFS(Cases!$C:$C,A2,Cases!$L:$L,"Not executed")</f>
        <v/>
      </c>
    </row>
    <row r="3">
      <c r="A3" s="15" t="inlineStr">
        <is>
          <t>TC-002</t>
        </is>
      </c>
      <c r="B3" s="15" t="inlineStr">
        <is>
          <t>TS-01</t>
        </is>
      </c>
      <c r="C3" s="16" t="inlineStr">
        <is>
          <t>AUT – Authentication and session</t>
        </is>
      </c>
      <c r="D3" s="16" t="inlineStr">
        <is>
          <t>Successful sign-in returns the user profile, permissions and a CSRF token; never a password hash</t>
        </is>
      </c>
      <c r="E3" s="15">
        <f>COUNTIF(Cases!$C:$C,A3)</f>
        <v/>
      </c>
      <c r="F3" s="15">
        <f>COUNTIFS(Cases!$C:$C,A3,Cases!$L:$L,"Passed")</f>
        <v/>
      </c>
      <c r="G3" s="15">
        <f>COUNTIFS(Cases!$C:$C,A3,Cases!$L:$L,"Failed")</f>
        <v/>
      </c>
      <c r="H3" s="15">
        <f>COUNTIFS(Cases!$C:$C,A3,Cases!$L:$L,"Blocked")</f>
        <v/>
      </c>
      <c r="I3" s="15">
        <f>COUNTIFS(Cases!$C:$C,A3,Cases!$L:$L,"Not executed")</f>
        <v/>
      </c>
    </row>
    <row r="4">
      <c r="A4" s="15" t="inlineStr">
        <is>
          <t>TC-003</t>
        </is>
      </c>
      <c r="B4" s="15" t="inlineStr">
        <is>
          <t>TS-01</t>
        </is>
      </c>
      <c r="C4" s="16" t="inlineStr">
        <is>
          <t>AUT – Authentication and session</t>
        </is>
      </c>
      <c r="D4" s="16" t="inlineStr">
        <is>
          <t>Failed sign-ins are recorded in the audit trail with the client IP address</t>
        </is>
      </c>
      <c r="E4" s="15">
        <f>COUNTIF(Cases!$C:$C,A4)</f>
        <v/>
      </c>
      <c r="F4" s="15">
        <f>COUNTIFS(Cases!$C:$C,A4,Cases!$L:$L,"Passed")</f>
        <v/>
      </c>
      <c r="G4" s="15">
        <f>COUNTIFS(Cases!$C:$C,A4,Cases!$L:$L,"Failed")</f>
        <v/>
      </c>
      <c r="H4" s="15">
        <f>COUNTIFS(Cases!$C:$C,A4,Cases!$L:$L,"Blocked")</f>
        <v/>
      </c>
      <c r="I4" s="15">
        <f>COUNTIFS(Cases!$C:$C,A4,Cases!$L:$L,"Not executed")</f>
        <v/>
      </c>
    </row>
    <row r="5">
      <c r="A5" s="15" t="inlineStr">
        <is>
          <t>TC-004</t>
        </is>
      </c>
      <c r="B5" s="15" t="inlineStr">
        <is>
          <t>TS-01</t>
        </is>
      </c>
      <c r="C5" s="16" t="inlineStr">
        <is>
          <t>AUT – Authentication and session</t>
        </is>
      </c>
      <c r="D5" s="16" t="inlineStr">
        <is>
          <t>Sign-in attempts are rate limited per client address (HTTP 429)</t>
        </is>
      </c>
      <c r="E5" s="15">
        <f>COUNTIF(Cases!$C:$C,A5)</f>
        <v/>
      </c>
      <c r="F5" s="15">
        <f>COUNTIFS(Cases!$C:$C,A5,Cases!$L:$L,"Passed")</f>
        <v/>
      </c>
      <c r="G5" s="15">
        <f>COUNTIFS(Cases!$C:$C,A5,Cases!$L:$L,"Failed")</f>
        <v/>
      </c>
      <c r="H5" s="15">
        <f>COUNTIFS(Cases!$C:$C,A5,Cases!$L:$L,"Blocked")</f>
        <v/>
      </c>
      <c r="I5" s="15">
        <f>COUNTIFS(Cases!$C:$C,A5,Cases!$L:$L,"Not executed")</f>
        <v/>
      </c>
    </row>
    <row r="6">
      <c r="A6" s="15" t="inlineStr">
        <is>
          <t>TC-005</t>
        </is>
      </c>
      <c r="B6" s="15" t="inlineStr">
        <is>
          <t>TS-01</t>
        </is>
      </c>
      <c r="C6" s="16" t="inlineStr">
        <is>
          <t>AUT – Authentication and session</t>
        </is>
      </c>
      <c r="D6" s="16" t="inlineStr">
        <is>
          <t>Injection payloads in sign-in fields are rejected as invalid credentials</t>
        </is>
      </c>
      <c r="E6" s="15">
        <f>COUNTIF(Cases!$C:$C,A6)</f>
        <v/>
      </c>
      <c r="F6" s="15">
        <f>COUNTIFS(Cases!$C:$C,A6,Cases!$L:$L,"Passed")</f>
        <v/>
      </c>
      <c r="G6" s="15">
        <f>COUNTIFS(Cases!$C:$C,A6,Cases!$L:$L,"Failed")</f>
        <v/>
      </c>
      <c r="H6" s="15">
        <f>COUNTIFS(Cases!$C:$C,A6,Cases!$L:$L,"Blocked")</f>
        <v/>
      </c>
      <c r="I6" s="15">
        <f>COUNTIFS(Cases!$C:$C,A6,Cases!$L:$L,"Not executed")</f>
        <v/>
      </c>
    </row>
    <row r="7">
      <c r="A7" s="15" t="inlineStr">
        <is>
          <t>TC-006</t>
        </is>
      </c>
      <c r="B7" s="15" t="inlineStr">
        <is>
          <t>TS-01</t>
        </is>
      </c>
      <c r="C7" s="16" t="inlineStr">
        <is>
          <t>AUT – Authentication and session</t>
        </is>
      </c>
      <c r="D7" s="16" t="inlineStr">
        <is>
          <t>Sign-in page validates both fields and shows the server's error message</t>
        </is>
      </c>
      <c r="E7" s="15">
        <f>COUNTIF(Cases!$C:$C,A7)</f>
        <v/>
      </c>
      <c r="F7" s="15">
        <f>COUNTIFS(Cases!$C:$C,A7,Cases!$L:$L,"Passed")</f>
        <v/>
      </c>
      <c r="G7" s="15">
        <f>COUNTIFS(Cases!$C:$C,A7,Cases!$L:$L,"Failed")</f>
        <v/>
      </c>
      <c r="H7" s="15">
        <f>COUNTIFS(Cases!$C:$C,A7,Cases!$L:$L,"Blocked")</f>
        <v/>
      </c>
      <c r="I7" s="15">
        <f>COUNTIFS(Cases!$C:$C,A7,Cases!$L:$L,"Not executed")</f>
        <v/>
      </c>
    </row>
    <row r="8">
      <c r="A8" s="15" t="inlineStr">
        <is>
          <t>TC-007</t>
        </is>
      </c>
      <c r="B8" s="15" t="inlineStr">
        <is>
          <t>TS-02</t>
        </is>
      </c>
      <c r="C8" s="16" t="inlineStr">
        <is>
          <t>AUT – Authentication and session</t>
        </is>
      </c>
      <c r="D8" s="16" t="inlineStr">
        <is>
          <t>Password must meet the configured length and character-class rules and must not contain the user name</t>
        </is>
      </c>
      <c r="E8" s="15">
        <f>COUNTIF(Cases!$C:$C,A8)</f>
        <v/>
      </c>
      <c r="F8" s="15">
        <f>COUNTIFS(Cases!$C:$C,A8,Cases!$L:$L,"Passed")</f>
        <v/>
      </c>
      <c r="G8" s="15">
        <f>COUNTIFS(Cases!$C:$C,A8,Cases!$L:$L,"Failed")</f>
        <v/>
      </c>
      <c r="H8" s="15">
        <f>COUNTIFS(Cases!$C:$C,A8,Cases!$L:$L,"Blocked")</f>
        <v/>
      </c>
      <c r="I8" s="15">
        <f>COUNTIFS(Cases!$C:$C,A8,Cases!$L:$L,"Not executed")</f>
        <v/>
      </c>
    </row>
    <row r="9">
      <c r="A9" s="15" t="inlineStr">
        <is>
          <t>TC-008</t>
        </is>
      </c>
      <c r="B9" s="15" t="inlineStr">
        <is>
          <t>TS-02</t>
        </is>
      </c>
      <c r="C9" s="16" t="inlineStr">
        <is>
          <t>AUT – Authentication and session</t>
        </is>
      </c>
      <c r="D9" s="16" t="inlineStr">
        <is>
          <t>Last N passwords cannot be reused and passwords expire after the configured days</t>
        </is>
      </c>
      <c r="E9" s="15">
        <f>COUNTIF(Cases!$C:$C,A9)</f>
        <v/>
      </c>
      <c r="F9" s="15">
        <f>COUNTIFS(Cases!$C:$C,A9,Cases!$L:$L,"Passed")</f>
        <v/>
      </c>
      <c r="G9" s="15">
        <f>COUNTIFS(Cases!$C:$C,A9,Cases!$L:$L,"Failed")</f>
        <v/>
      </c>
      <c r="H9" s="15">
        <f>COUNTIFS(Cases!$C:$C,A9,Cases!$L:$L,"Blocked")</f>
        <v/>
      </c>
      <c r="I9" s="15">
        <f>COUNTIFS(Cases!$C:$C,A9,Cases!$L:$L,"Not executed")</f>
        <v/>
      </c>
    </row>
    <row r="10">
      <c r="A10" s="15" t="inlineStr">
        <is>
          <t>TC-009</t>
        </is>
      </c>
      <c r="B10" s="15" t="inlineStr">
        <is>
          <t>TS-02</t>
        </is>
      </c>
      <c r="C10" s="16" t="inlineStr">
        <is>
          <t>AUT – Authentication and session</t>
        </is>
      </c>
      <c r="D10" s="16" t="inlineStr">
        <is>
          <t>Passwords are hashed with Argon2id; current password must be given to change it</t>
        </is>
      </c>
      <c r="E10" s="15">
        <f>COUNTIF(Cases!$C:$C,A10)</f>
        <v/>
      </c>
      <c r="F10" s="15">
        <f>COUNTIFS(Cases!$C:$C,A10,Cases!$L:$L,"Passed")</f>
        <v/>
      </c>
      <c r="G10" s="15">
        <f>COUNTIFS(Cases!$C:$C,A10,Cases!$L:$L,"Failed")</f>
        <v/>
      </c>
      <c r="H10" s="15">
        <f>COUNTIFS(Cases!$C:$C,A10,Cases!$L:$L,"Blocked")</f>
        <v/>
      </c>
      <c r="I10" s="15">
        <f>COUNTIFS(Cases!$C:$C,A10,Cases!$L:$L,"Not executed")</f>
        <v/>
      </c>
    </row>
    <row r="11">
      <c r="A11" s="15" t="inlineStr">
        <is>
          <t>TC-010</t>
        </is>
      </c>
      <c r="B11" s="15" t="inlineStr">
        <is>
          <t>TS-02</t>
        </is>
      </c>
      <c r="C11" s="16" t="inlineStr">
        <is>
          <t>AUT – Authentication and session</t>
        </is>
      </c>
      <c r="D11" s="16" t="inlineStr">
        <is>
          <t>A temporary password must be changed before any other request succeeds (PASSWORD_CHANGE_REQUIRED)</t>
        </is>
      </c>
      <c r="E11" s="15">
        <f>COUNTIF(Cases!$C:$C,A11)</f>
        <v/>
      </c>
      <c r="F11" s="15">
        <f>COUNTIFS(Cases!$C:$C,A11,Cases!$L:$L,"Passed")</f>
        <v/>
      </c>
      <c r="G11" s="15">
        <f>COUNTIFS(Cases!$C:$C,A11,Cases!$L:$L,"Failed")</f>
        <v/>
      </c>
      <c r="H11" s="15">
        <f>COUNTIFS(Cases!$C:$C,A11,Cases!$L:$L,"Blocked")</f>
        <v/>
      </c>
      <c r="I11" s="15">
        <f>COUNTIFS(Cases!$C:$C,A11,Cases!$L:$L,"Not executed")</f>
        <v/>
      </c>
    </row>
    <row r="12">
      <c r="A12" s="15" t="inlineStr">
        <is>
          <t>TC-011</t>
        </is>
      </c>
      <c r="B12" s="15" t="inlineStr">
        <is>
          <t>TS-02</t>
        </is>
      </c>
      <c r="C12" s="16" t="inlineStr">
        <is>
          <t>AUT – Authentication and session</t>
        </is>
      </c>
      <c r="D12" s="16" t="inlineStr">
        <is>
          <t>Generated temporary passwords satisfy the policy</t>
        </is>
      </c>
      <c r="E12" s="15">
        <f>COUNTIF(Cases!$C:$C,A12)</f>
        <v/>
      </c>
      <c r="F12" s="15">
        <f>COUNTIFS(Cases!$C:$C,A12,Cases!$L:$L,"Passed")</f>
        <v/>
      </c>
      <c r="G12" s="15">
        <f>COUNTIFS(Cases!$C:$C,A12,Cases!$L:$L,"Failed")</f>
        <v/>
      </c>
      <c r="H12" s="15">
        <f>COUNTIFS(Cases!$C:$C,A12,Cases!$L:$L,"Blocked")</f>
        <v/>
      </c>
      <c r="I12" s="15">
        <f>COUNTIFS(Cases!$C:$C,A12,Cases!$L:$L,"Not executed")</f>
        <v/>
      </c>
    </row>
    <row r="13">
      <c r="A13" s="15" t="inlineStr">
        <is>
          <t>TC-012</t>
        </is>
      </c>
      <c r="B13" s="15" t="inlineStr">
        <is>
          <t>TS-03</t>
        </is>
      </c>
      <c r="C13" s="16" t="inlineStr">
        <is>
          <t>AUT – Authentication and session</t>
        </is>
      </c>
      <c r="D13" s="16" t="inlineStr">
        <is>
          <t>Session cookie is HttpOnly and SameSite=Strict; Secure in production</t>
        </is>
      </c>
      <c r="E13" s="15">
        <f>COUNTIF(Cases!$C:$C,A13)</f>
        <v/>
      </c>
      <c r="F13" s="15">
        <f>COUNTIFS(Cases!$C:$C,A13,Cases!$L:$L,"Passed")</f>
        <v/>
      </c>
      <c r="G13" s="15">
        <f>COUNTIFS(Cases!$C:$C,A13,Cases!$L:$L,"Failed")</f>
        <v/>
      </c>
      <c r="H13" s="15">
        <f>COUNTIFS(Cases!$C:$C,A13,Cases!$L:$L,"Blocked")</f>
        <v/>
      </c>
      <c r="I13" s="15">
        <f>COUNTIFS(Cases!$C:$C,A13,Cases!$L:$L,"Not executed")</f>
        <v/>
      </c>
    </row>
    <row r="14">
      <c r="A14" s="15" t="inlineStr">
        <is>
          <t>TC-013</t>
        </is>
      </c>
      <c r="B14" s="15" t="inlineStr">
        <is>
          <t>TS-03</t>
        </is>
      </c>
      <c r="C14" s="16" t="inlineStr">
        <is>
          <t>AUT – Authentication and session</t>
        </is>
      </c>
      <c r="D14" s="16" t="inlineStr">
        <is>
          <t>Session identifier changes at every sign-in (no fixation)</t>
        </is>
      </c>
      <c r="E14" s="15">
        <f>COUNTIF(Cases!$C:$C,A14)</f>
        <v/>
      </c>
      <c r="F14" s="15">
        <f>COUNTIFS(Cases!$C:$C,A14,Cases!$L:$L,"Passed")</f>
        <v/>
      </c>
      <c r="G14" s="15">
        <f>COUNTIFS(Cases!$C:$C,A14,Cases!$L:$L,"Failed")</f>
        <v/>
      </c>
      <c r="H14" s="15">
        <f>COUNTIFS(Cases!$C:$C,A14,Cases!$L:$L,"Blocked")</f>
        <v/>
      </c>
      <c r="I14" s="15">
        <f>COUNTIFS(Cases!$C:$C,A14,Cases!$L:$L,"Not executed")</f>
        <v/>
      </c>
    </row>
    <row r="15">
      <c r="A15" s="15" t="inlineStr">
        <is>
          <t>TC-014</t>
        </is>
      </c>
      <c r="B15" s="15" t="inlineStr">
        <is>
          <t>TS-03</t>
        </is>
      </c>
      <c r="C15" s="16" t="inlineStr">
        <is>
          <t>AUT – Authentication and session</t>
        </is>
      </c>
      <c r="D15" s="16" t="inlineStr">
        <is>
          <t>Logout revokes the session server-side; the old cookie is refused</t>
        </is>
      </c>
      <c r="E15" s="15">
        <f>COUNTIF(Cases!$C:$C,A15)</f>
        <v/>
      </c>
      <c r="F15" s="15">
        <f>COUNTIFS(Cases!$C:$C,A15,Cases!$L:$L,"Passed")</f>
        <v/>
      </c>
      <c r="G15" s="15">
        <f>COUNTIFS(Cases!$C:$C,A15,Cases!$L:$L,"Failed")</f>
        <v/>
      </c>
      <c r="H15" s="15">
        <f>COUNTIFS(Cases!$C:$C,A15,Cases!$L:$L,"Blocked")</f>
        <v/>
      </c>
      <c r="I15" s="15">
        <f>COUNTIFS(Cases!$C:$C,A15,Cases!$L:$L,"Not executed")</f>
        <v/>
      </c>
    </row>
    <row r="16">
      <c r="A16" s="15" t="inlineStr">
        <is>
          <t>TC-015</t>
        </is>
      </c>
      <c r="B16" s="15" t="inlineStr">
        <is>
          <t>TS-03</t>
        </is>
      </c>
      <c r="C16" s="16" t="inlineStr">
        <is>
          <t>AUT – Authentication and session</t>
        </is>
      </c>
      <c r="D16" s="16" t="inlineStr">
        <is>
          <t>Signing in again ends the user's earlier session when single active session is on</t>
        </is>
      </c>
      <c r="E16" s="15">
        <f>COUNTIF(Cases!$C:$C,A16)</f>
        <v/>
      </c>
      <c r="F16" s="15">
        <f>COUNTIFS(Cases!$C:$C,A16,Cases!$L:$L,"Passed")</f>
        <v/>
      </c>
      <c r="G16" s="15">
        <f>COUNTIFS(Cases!$C:$C,A16,Cases!$L:$L,"Failed")</f>
        <v/>
      </c>
      <c r="H16" s="15">
        <f>COUNTIFS(Cases!$C:$C,A16,Cases!$L:$L,"Blocked")</f>
        <v/>
      </c>
      <c r="I16" s="15">
        <f>COUNTIFS(Cases!$C:$C,A16,Cases!$L:$L,"Not executed")</f>
        <v/>
      </c>
    </row>
    <row r="17">
      <c r="A17" s="15" t="inlineStr">
        <is>
          <t>TC-016</t>
        </is>
      </c>
      <c r="B17" s="15" t="inlineStr">
        <is>
          <t>TS-03</t>
        </is>
      </c>
      <c r="C17" s="16" t="inlineStr">
        <is>
          <t>AUT – Authentication and session</t>
        </is>
      </c>
      <c r="D17" s="16" t="inlineStr">
        <is>
          <t>Idle (15 min) and absolute (8 h) timeouts end the session; the web application returns to the sign-in page</t>
        </is>
      </c>
      <c r="E17" s="15">
        <f>COUNTIF(Cases!$C:$C,A17)</f>
        <v/>
      </c>
      <c r="F17" s="15">
        <f>COUNTIFS(Cases!$C:$C,A17,Cases!$L:$L,"Passed")</f>
        <v/>
      </c>
      <c r="G17" s="15">
        <f>COUNTIFS(Cases!$C:$C,A17,Cases!$L:$L,"Failed")</f>
        <v/>
      </c>
      <c r="H17" s="15">
        <f>COUNTIFS(Cases!$C:$C,A17,Cases!$L:$L,"Blocked")</f>
        <v/>
      </c>
      <c r="I17" s="15">
        <f>COUNTIFS(Cases!$C:$C,A17,Cases!$L:$L,"Not executed")</f>
        <v/>
      </c>
    </row>
    <row r="18">
      <c r="A18" s="15" t="inlineStr">
        <is>
          <t>TC-017</t>
        </is>
      </c>
      <c r="B18" s="15" t="inlineStr">
        <is>
          <t>TS-04</t>
        </is>
      </c>
      <c r="C18" s="16" t="inlineStr">
        <is>
          <t>AUT – Authentication and session</t>
        </is>
      </c>
      <c r="D18" s="16" t="inlineStr">
        <is>
          <t>Account is locked after the configured number of failed attempts; the correct password is then refused with ACCOUNT_LOCKED</t>
        </is>
      </c>
      <c r="E18" s="15">
        <f>COUNTIF(Cases!$C:$C,A18)</f>
        <v/>
      </c>
      <c r="F18" s="15">
        <f>COUNTIFS(Cases!$C:$C,A18,Cases!$L:$L,"Passed")</f>
        <v/>
      </c>
      <c r="G18" s="15">
        <f>COUNTIFS(Cases!$C:$C,A18,Cases!$L:$L,"Failed")</f>
        <v/>
      </c>
      <c r="H18" s="15">
        <f>COUNTIFS(Cases!$C:$C,A18,Cases!$L:$L,"Blocked")</f>
        <v/>
      </c>
      <c r="I18" s="15">
        <f>COUNTIFS(Cases!$C:$C,A18,Cases!$L:$L,"Not executed")</f>
        <v/>
      </c>
    </row>
    <row r="19">
      <c r="A19" s="15" t="inlineStr">
        <is>
          <t>TC-018</t>
        </is>
      </c>
      <c r="B19" s="15" t="inlineStr">
        <is>
          <t>TS-04</t>
        </is>
      </c>
      <c r="C19" s="16" t="inlineStr">
        <is>
          <t>AUT – Authentication and session</t>
        </is>
      </c>
      <c r="D19" s="16" t="inlineStr">
        <is>
          <t>Administrator can unlock a locked account; a disabled account cannot be unlocked</t>
        </is>
      </c>
      <c r="E19" s="15">
        <f>COUNTIF(Cases!$C:$C,A19)</f>
        <v/>
      </c>
      <c r="F19" s="15">
        <f>COUNTIFS(Cases!$C:$C,A19,Cases!$L:$L,"Passed")</f>
        <v/>
      </c>
      <c r="G19" s="15">
        <f>COUNTIFS(Cases!$C:$C,A19,Cases!$L:$L,"Failed")</f>
        <v/>
      </c>
      <c r="H19" s="15">
        <f>COUNTIFS(Cases!$C:$C,A19,Cases!$L:$L,"Blocked")</f>
        <v/>
      </c>
      <c r="I19" s="15">
        <f>COUNTIFS(Cases!$C:$C,A19,Cases!$L:$L,"Not executed")</f>
        <v/>
      </c>
    </row>
    <row r="20">
      <c r="A20" s="15" t="inlineStr">
        <is>
          <t>TC-019</t>
        </is>
      </c>
      <c r="B20" s="15" t="inlineStr">
        <is>
          <t>TS-05</t>
        </is>
      </c>
      <c r="C20" s="16" t="inlineStr">
        <is>
          <t>AUT – Authentication and session</t>
        </is>
      </c>
      <c r="D20" s="16" t="inlineStr">
        <is>
          <t>LDAP filter characters in user names are escaped</t>
        </is>
      </c>
      <c r="E20" s="15">
        <f>COUNTIF(Cases!$C:$C,A20)</f>
        <v/>
      </c>
      <c r="F20" s="15">
        <f>COUNTIFS(Cases!$C:$C,A20,Cases!$L:$L,"Passed")</f>
        <v/>
      </c>
      <c r="G20" s="15">
        <f>COUNTIFS(Cases!$C:$C,A20,Cases!$L:$L,"Failed")</f>
        <v/>
      </c>
      <c r="H20" s="15">
        <f>COUNTIFS(Cases!$C:$C,A20,Cases!$L:$L,"Blocked")</f>
        <v/>
      </c>
      <c r="I20" s="15">
        <f>COUNTIFS(Cases!$C:$C,A20,Cases!$L:$L,"Not executed")</f>
        <v/>
      </c>
    </row>
    <row r="21">
      <c r="A21" s="15" t="inlineStr">
        <is>
          <t>TC-020</t>
        </is>
      </c>
      <c r="B21" s="15" t="inlineStr">
        <is>
          <t>TS-05</t>
        </is>
      </c>
      <c r="C21" s="16" t="inlineStr">
        <is>
          <t>AUT – Authentication and session</t>
        </is>
      </c>
      <c r="D21" s="16" t="inlineStr">
        <is>
          <t>Directory users authenticate against IIFT's Active Directory; directory accounts are not reset locally</t>
        </is>
      </c>
      <c r="E21" s="15">
        <f>COUNTIF(Cases!$C:$C,A21)</f>
        <v/>
      </c>
      <c r="F21" s="15">
        <f>COUNTIFS(Cases!$C:$C,A21,Cases!$L:$L,"Passed")</f>
        <v/>
      </c>
      <c r="G21" s="15">
        <f>COUNTIFS(Cases!$C:$C,A21,Cases!$L:$L,"Failed")</f>
        <v/>
      </c>
      <c r="H21" s="15">
        <f>COUNTIFS(Cases!$C:$C,A21,Cases!$L:$L,"Blocked")</f>
        <v/>
      </c>
      <c r="I21" s="15">
        <f>COUNTIFS(Cases!$C:$C,A21,Cases!$L:$L,"Not executed")</f>
        <v/>
      </c>
    </row>
    <row r="22">
      <c r="A22" s="15" t="inlineStr">
        <is>
          <t>TC-021</t>
        </is>
      </c>
      <c r="B22" s="15" t="inlineStr">
        <is>
          <t>TS-06</t>
        </is>
      </c>
      <c r="C22" s="16" t="inlineStr">
        <is>
          <t>ACC – Access control and data scoping</t>
        </is>
      </c>
      <c r="D22" s="16" t="inlineStr">
        <is>
          <t>Protected routes require a session (401 NOT_AUTHENTICATED)</t>
        </is>
      </c>
      <c r="E22" s="15">
        <f>COUNTIF(Cases!$C:$C,A22)</f>
        <v/>
      </c>
      <c r="F22" s="15">
        <f>COUNTIFS(Cases!$C:$C,A22,Cases!$L:$L,"Passed")</f>
        <v/>
      </c>
      <c r="G22" s="15">
        <f>COUNTIFS(Cases!$C:$C,A22,Cases!$L:$L,"Failed")</f>
        <v/>
      </c>
      <c r="H22" s="15">
        <f>COUNTIFS(Cases!$C:$C,A22,Cases!$L:$L,"Blocked")</f>
        <v/>
      </c>
      <c r="I22" s="15">
        <f>COUNTIFS(Cases!$C:$C,A22,Cases!$L:$L,"Not executed")</f>
        <v/>
      </c>
    </row>
    <row r="23">
      <c r="A23" s="15" t="inlineStr">
        <is>
          <t>TC-022</t>
        </is>
      </c>
      <c r="B23" s="15" t="inlineStr">
        <is>
          <t>TS-06</t>
        </is>
      </c>
      <c r="C23" s="16" t="inlineStr">
        <is>
          <t>ACC – Access control and data scoping</t>
        </is>
      </c>
      <c r="D23" s="16" t="inlineStr">
        <is>
          <t>Portal users cannot call back-office routes and vice versa (403 WRONG_AUDIENCE)</t>
        </is>
      </c>
      <c r="E23" s="15">
        <f>COUNTIF(Cases!$C:$C,A23)</f>
        <v/>
      </c>
      <c r="F23" s="15">
        <f>COUNTIFS(Cases!$C:$C,A23,Cases!$L:$L,"Passed")</f>
        <v/>
      </c>
      <c r="G23" s="15">
        <f>COUNTIFS(Cases!$C:$C,A23,Cases!$L:$L,"Failed")</f>
        <v/>
      </c>
      <c r="H23" s="15">
        <f>COUNTIFS(Cases!$C:$C,A23,Cases!$L:$L,"Blocked")</f>
        <v/>
      </c>
      <c r="I23" s="15">
        <f>COUNTIFS(Cases!$C:$C,A23,Cases!$L:$L,"Not executed")</f>
        <v/>
      </c>
    </row>
    <row r="24">
      <c r="A24" s="15" t="inlineStr">
        <is>
          <t>TC-023</t>
        </is>
      </c>
      <c r="B24" s="15" t="inlineStr">
        <is>
          <t>TS-06</t>
        </is>
      </c>
      <c r="C24" s="16" t="inlineStr">
        <is>
          <t>ACC – Access control and data scoping</t>
        </is>
      </c>
      <c r="D24" s="16" t="inlineStr">
        <is>
          <t>Each back-office function requires its permission (403 FORBIDDEN)</t>
        </is>
      </c>
      <c r="E24" s="15">
        <f>COUNTIF(Cases!$C:$C,A24)</f>
        <v/>
      </c>
      <c r="F24" s="15">
        <f>COUNTIFS(Cases!$C:$C,A24,Cases!$L:$L,"Passed")</f>
        <v/>
      </c>
      <c r="G24" s="15">
        <f>COUNTIFS(Cases!$C:$C,A24,Cases!$L:$L,"Failed")</f>
        <v/>
      </c>
      <c r="H24" s="15">
        <f>COUNTIFS(Cases!$C:$C,A24,Cases!$L:$L,"Blocked")</f>
        <v/>
      </c>
      <c r="I24" s="15">
        <f>COUNTIFS(Cases!$C:$C,A24,Cases!$L:$L,"Not executed")</f>
        <v/>
      </c>
    </row>
    <row r="25">
      <c r="A25" s="15" t="inlineStr">
        <is>
          <t>TC-024</t>
        </is>
      </c>
      <c r="B25" s="15" t="inlineStr">
        <is>
          <t>TS-06</t>
        </is>
      </c>
      <c r="C25" s="16" t="inlineStr">
        <is>
          <t>ACC – Access control and data scoping</t>
        </is>
      </c>
      <c r="D25" s="16" t="inlineStr">
        <is>
          <t>Users cannot grant permissions they do not hold</t>
        </is>
      </c>
      <c r="E25" s="15">
        <f>COUNTIF(Cases!$C:$C,A25)</f>
        <v/>
      </c>
      <c r="F25" s="15">
        <f>COUNTIFS(Cases!$C:$C,A25,Cases!$L:$L,"Passed")</f>
        <v/>
      </c>
      <c r="G25" s="15">
        <f>COUNTIFS(Cases!$C:$C,A25,Cases!$L:$L,"Failed")</f>
        <v/>
      </c>
      <c r="H25" s="15">
        <f>COUNTIFS(Cases!$C:$C,A25,Cases!$L:$L,"Blocked")</f>
        <v/>
      </c>
      <c r="I25" s="15">
        <f>COUNTIFS(Cases!$C:$C,A25,Cases!$L:$L,"Not executed")</f>
        <v/>
      </c>
    </row>
    <row r="26">
      <c r="A26" s="15" t="inlineStr">
        <is>
          <t>TC-025</t>
        </is>
      </c>
      <c r="B26" s="15" t="inlineStr">
        <is>
          <t>TS-06</t>
        </is>
      </c>
      <c r="C26" s="16" t="inlineStr">
        <is>
          <t>ACC – Access control and data scoping</t>
        </is>
      </c>
      <c r="D26" s="16" t="inlineStr">
        <is>
          <t>The web application hides pages and menu entries the user lacks permission for</t>
        </is>
      </c>
      <c r="E26" s="15">
        <f>COUNTIF(Cases!$C:$C,A26)</f>
        <v/>
      </c>
      <c r="F26" s="15">
        <f>COUNTIFS(Cases!$C:$C,A26,Cases!$L:$L,"Passed")</f>
        <v/>
      </c>
      <c r="G26" s="15">
        <f>COUNTIFS(Cases!$C:$C,A26,Cases!$L:$L,"Failed")</f>
        <v/>
      </c>
      <c r="H26" s="15">
        <f>COUNTIFS(Cases!$C:$C,A26,Cases!$L:$L,"Blocked")</f>
        <v/>
      </c>
      <c r="I26" s="15">
        <f>COUNTIFS(Cases!$C:$C,A26,Cases!$L:$L,"Not executed")</f>
        <v/>
      </c>
    </row>
    <row r="27">
      <c r="A27" s="15" t="inlineStr">
        <is>
          <t>TC-026</t>
        </is>
      </c>
      <c r="B27" s="15" t="inlineStr">
        <is>
          <t>TS-07</t>
        </is>
      </c>
      <c r="C27" s="16" t="inlineStr">
        <is>
          <t>ACC – Access control and data scoping</t>
        </is>
      </c>
      <c r="D27" s="16" t="inlineStr">
        <is>
          <t>A policy outside the user's agency or hierarchy is not disclosed (404)</t>
        </is>
      </c>
      <c r="E27" s="15">
        <f>COUNTIF(Cases!$C:$C,A27)</f>
        <v/>
      </c>
      <c r="F27" s="15">
        <f>COUNTIFS(Cases!$C:$C,A27,Cases!$L:$L,"Passed")</f>
        <v/>
      </c>
      <c r="G27" s="15">
        <f>COUNTIFS(Cases!$C:$C,A27,Cases!$L:$L,"Failed")</f>
        <v/>
      </c>
      <c r="H27" s="15">
        <f>COUNTIFS(Cases!$C:$C,A27,Cases!$L:$L,"Blocked")</f>
        <v/>
      </c>
      <c r="I27" s="15">
        <f>COUNTIFS(Cases!$C:$C,A27,Cases!$L:$L,"Not executed")</f>
        <v/>
      </c>
    </row>
    <row r="28">
      <c r="A28" s="15" t="inlineStr">
        <is>
          <t>TC-027</t>
        </is>
      </c>
      <c r="B28" s="15" t="inlineStr">
        <is>
          <t>TS-07</t>
        </is>
      </c>
      <c r="C28" s="16" t="inlineStr">
        <is>
          <t>ACC – Access control and data scoping</t>
        </is>
      </c>
      <c r="D28" s="16" t="inlineStr">
        <is>
          <t>Sub-agents see only their own business; principals and bank supervisors see the whole agency/bank</t>
        </is>
      </c>
      <c r="E28" s="15">
        <f>COUNTIF(Cases!$C:$C,A28)</f>
        <v/>
      </c>
      <c r="F28" s="15">
        <f>COUNTIFS(Cases!$C:$C,A28,Cases!$L:$L,"Passed")</f>
        <v/>
      </c>
      <c r="G28" s="15">
        <f>COUNTIFS(Cases!$C:$C,A28,Cases!$L:$L,"Failed")</f>
        <v/>
      </c>
      <c r="H28" s="15">
        <f>COUNTIFS(Cases!$C:$C,A28,Cases!$L:$L,"Blocked")</f>
        <v/>
      </c>
      <c r="I28" s="15">
        <f>COUNTIFS(Cases!$C:$C,A28,Cases!$L:$L,"Not executed")</f>
        <v/>
      </c>
    </row>
    <row r="29">
      <c r="A29" s="15" t="inlineStr">
        <is>
          <t>TC-028</t>
        </is>
      </c>
      <c r="B29" s="15" t="inlineStr">
        <is>
          <t>TS-07</t>
        </is>
      </c>
      <c r="C29" s="16" t="inlineStr">
        <is>
          <t>ACC – Access control and data scoping</t>
        </is>
      </c>
      <c r="D29" s="16" t="inlineStr">
        <is>
          <t>Documents, participants and issues of another agency cannot be read or downloaded</t>
        </is>
      </c>
      <c r="E29" s="15">
        <f>COUNTIF(Cases!$C:$C,A29)</f>
        <v/>
      </c>
      <c r="F29" s="15">
        <f>COUNTIFS(Cases!$C:$C,A29,Cases!$L:$L,"Passed")</f>
        <v/>
      </c>
      <c r="G29" s="15">
        <f>COUNTIFS(Cases!$C:$C,A29,Cases!$L:$L,"Failed")</f>
        <v/>
      </c>
      <c r="H29" s="15">
        <f>COUNTIFS(Cases!$C:$C,A29,Cases!$L:$L,"Blocked")</f>
        <v/>
      </c>
      <c r="I29" s="15">
        <f>COUNTIFS(Cases!$C:$C,A29,Cases!$L:$L,"Not executed")</f>
        <v/>
      </c>
    </row>
    <row r="30">
      <c r="A30" s="15" t="inlineStr">
        <is>
          <t>TC-029</t>
        </is>
      </c>
      <c r="B30" s="15" t="inlineStr">
        <is>
          <t>TS-08</t>
        </is>
      </c>
      <c r="C30" s="16" t="inlineStr">
        <is>
          <t>AGT – Agent and agency management</t>
        </is>
      </c>
      <c r="D30" s="16" t="inlineStr">
        <is>
          <t>Only users with portal.agents.register (principals, bank supervisors) can register agents</t>
        </is>
      </c>
      <c r="E30" s="15">
        <f>COUNTIF(Cases!$C:$C,A30)</f>
        <v/>
      </c>
      <c r="F30" s="15">
        <f>COUNTIFS(Cases!$C:$C,A30,Cases!$L:$L,"Passed")</f>
        <v/>
      </c>
      <c r="G30" s="15">
        <f>COUNTIFS(Cases!$C:$C,A30,Cases!$L:$L,"Failed")</f>
        <v/>
      </c>
      <c r="H30" s="15">
        <f>COUNTIFS(Cases!$C:$C,A30,Cases!$L:$L,"Blocked")</f>
        <v/>
      </c>
      <c r="I30" s="15">
        <f>COUNTIFS(Cases!$C:$C,A30,Cases!$L:$L,"Not executed")</f>
        <v/>
      </c>
    </row>
    <row r="31">
      <c r="A31" s="15" t="inlineStr">
        <is>
          <t>TC-030</t>
        </is>
      </c>
      <c r="B31" s="15" t="inlineStr">
        <is>
          <t>TS-08</t>
        </is>
      </c>
      <c r="C31" s="16" t="inlineStr">
        <is>
          <t>AGT – Agent and agency management</t>
        </is>
      </c>
      <c r="D31" s="16" t="inlineStr">
        <is>
          <t>Agent type must match the channel (BANKER for banks; MAIN/SUB_AGENT for agencies); sub-agents need an active main agent; no circular lines</t>
        </is>
      </c>
      <c r="E31" s="15">
        <f>COUNTIF(Cases!$C:$C,A31)</f>
        <v/>
      </c>
      <c r="F31" s="15">
        <f>COUNTIFS(Cases!$C:$C,A31,Cases!$L:$L,"Passed")</f>
        <v/>
      </c>
      <c r="G31" s="15">
        <f>COUNTIFS(Cases!$C:$C,A31,Cases!$L:$L,"Failed")</f>
        <v/>
      </c>
      <c r="H31" s="15">
        <f>COUNTIFS(Cases!$C:$C,A31,Cases!$L:$L,"Blocked")</f>
        <v/>
      </c>
      <c r="I31" s="15">
        <f>COUNTIFS(Cases!$C:$C,A31,Cases!$L:$L,"Not executed")</f>
        <v/>
      </c>
    </row>
    <row r="32">
      <c r="A32" s="15" t="inlineStr">
        <is>
          <t>TC-031</t>
        </is>
      </c>
      <c r="B32" s="15" t="inlineStr">
        <is>
          <t>TS-08</t>
        </is>
      </c>
      <c r="C32" s="16" t="inlineStr">
        <is>
          <t>AGT – Agent and agency management</t>
        </is>
      </c>
      <c r="D32" s="16" t="inlineStr">
        <is>
          <t>Unique agent code AG-/BK-nnnnnn generated; duplicate identification number refused</t>
        </is>
      </c>
      <c r="E32" s="15">
        <f>COUNTIF(Cases!$C:$C,A32)</f>
        <v/>
      </c>
      <c r="F32" s="15">
        <f>COUNTIFS(Cases!$C:$C,A32,Cases!$L:$L,"Passed")</f>
        <v/>
      </c>
      <c r="G32" s="15">
        <f>COUNTIFS(Cases!$C:$C,A32,Cases!$L:$L,"Failed")</f>
        <v/>
      </c>
      <c r="H32" s="15">
        <f>COUNTIFS(Cases!$C:$C,A32,Cases!$L:$L,"Blocked")</f>
        <v/>
      </c>
      <c r="I32" s="15">
        <f>COUNTIFS(Cases!$C:$C,A32,Cases!$L:$L,"Not executed")</f>
        <v/>
      </c>
    </row>
    <row r="33">
      <c r="A33" s="15" t="inlineStr">
        <is>
          <t>TC-032</t>
        </is>
      </c>
      <c r="B33" s="15" t="inlineStr">
        <is>
          <t>TS-08</t>
        </is>
      </c>
      <c r="C33" s="16" t="inlineStr">
        <is>
          <t>AGT – Agent and agency management</t>
        </is>
      </c>
      <c r="D33" s="16" t="inlineStr">
        <is>
          <t>Approval requires the identity document (IC copy, or passport copy for passport holders)</t>
        </is>
      </c>
      <c r="E33" s="15">
        <f>COUNTIF(Cases!$C:$C,A33)</f>
        <v/>
      </c>
      <c r="F33" s="15">
        <f>COUNTIFS(Cases!$C:$C,A33,Cases!$L:$L,"Passed")</f>
        <v/>
      </c>
      <c r="G33" s="15">
        <f>COUNTIFS(Cases!$C:$C,A33,Cases!$L:$L,"Failed")</f>
        <v/>
      </c>
      <c r="H33" s="15">
        <f>COUNTIFS(Cases!$C:$C,A33,Cases!$L:$L,"Blocked")</f>
        <v/>
      </c>
      <c r="I33" s="15">
        <f>COUNTIFS(Cases!$C:$C,A33,Cases!$L:$L,"Not executed")</f>
        <v/>
      </c>
    </row>
    <row r="34">
      <c r="A34" s="15" t="inlineStr">
        <is>
          <t>TC-033</t>
        </is>
      </c>
      <c r="B34" s="15" t="inlineStr">
        <is>
          <t>TS-08</t>
        </is>
      </c>
      <c r="C34" s="16" t="inlineStr">
        <is>
          <t>AGT – Agent and agency management</t>
        </is>
      </c>
      <c r="D34" s="16" t="inlineStr">
        <is>
          <t>On approval the agent becomes ACTIVE and a portal user named after the agent code is created with a temporary password</t>
        </is>
      </c>
      <c r="E34" s="15">
        <f>COUNTIF(Cases!$C:$C,A34)</f>
        <v/>
      </c>
      <c r="F34" s="15">
        <f>COUNTIFS(Cases!$C:$C,A34,Cases!$L:$L,"Passed")</f>
        <v/>
      </c>
      <c r="G34" s="15">
        <f>COUNTIFS(Cases!$C:$C,A34,Cases!$L:$L,"Failed")</f>
        <v/>
      </c>
      <c r="H34" s="15">
        <f>COUNTIFS(Cases!$C:$C,A34,Cases!$L:$L,"Blocked")</f>
        <v/>
      </c>
      <c r="I34" s="15">
        <f>COUNTIFS(Cases!$C:$C,A34,Cases!$L:$L,"Not executed")</f>
        <v/>
      </c>
    </row>
    <row r="35">
      <c r="A35" s="15" t="inlineStr">
        <is>
          <t>TC-034</t>
        </is>
      </c>
      <c r="B35" s="15" t="inlineStr">
        <is>
          <t>TS-08</t>
        </is>
      </c>
      <c r="C35" s="16" t="inlineStr">
        <is>
          <t>AGT – Agent and agency management</t>
        </is>
      </c>
      <c r="D35" s="16" t="inlineStr">
        <is>
          <t>A confirmed AML match rejects the registration and the agent</t>
        </is>
      </c>
      <c r="E35" s="15">
        <f>COUNTIF(Cases!$C:$C,A35)</f>
        <v/>
      </c>
      <c r="F35" s="15">
        <f>COUNTIFS(Cases!$C:$C,A35,Cases!$L:$L,"Passed")</f>
        <v/>
      </c>
      <c r="G35" s="15">
        <f>COUNTIFS(Cases!$C:$C,A35,Cases!$L:$L,"Failed")</f>
        <v/>
      </c>
      <c r="H35" s="15">
        <f>COUNTIFS(Cases!$C:$C,A35,Cases!$L:$L,"Blocked")</f>
        <v/>
      </c>
      <c r="I35" s="15">
        <f>COUNTIFS(Cases!$C:$C,A35,Cases!$L:$L,"Not executed")</f>
        <v/>
      </c>
    </row>
    <row r="36">
      <c r="A36" s="15" t="inlineStr">
        <is>
          <t>TC-035</t>
        </is>
      </c>
      <c r="B36" s="15" t="inlineStr">
        <is>
          <t>TS-09</t>
        </is>
      </c>
      <c r="C36" s="16" t="inlineStr">
        <is>
          <t>AGT – Agent and agency management</t>
        </is>
      </c>
      <c r="D36" s="16" t="inlineStr">
        <is>
          <t>Profile, agency and hierarchy views show the registered data and reporting line</t>
        </is>
      </c>
      <c r="E36" s="15">
        <f>COUNTIF(Cases!$C:$C,A36)</f>
        <v/>
      </c>
      <c r="F36" s="15">
        <f>COUNTIFS(Cases!$C:$C,A36,Cases!$L:$L,"Passed")</f>
        <v/>
      </c>
      <c r="G36" s="15">
        <f>COUNTIFS(Cases!$C:$C,A36,Cases!$L:$L,"Failed")</f>
        <v/>
      </c>
      <c r="H36" s="15">
        <f>COUNTIFS(Cases!$C:$C,A36,Cases!$L:$L,"Blocked")</f>
        <v/>
      </c>
      <c r="I36" s="15">
        <f>COUNTIFS(Cases!$C:$C,A36,Cases!$L:$L,"Not executed")</f>
        <v/>
      </c>
    </row>
    <row r="37">
      <c r="A37" s="15" t="inlineStr">
        <is>
          <t>TC-036</t>
        </is>
      </c>
      <c r="B37" s="15" t="inlineStr">
        <is>
          <t>TS-09</t>
        </is>
      </c>
      <c r="C37" s="16" t="inlineStr">
        <is>
          <t>AGT – Agent and agency management</t>
        </is>
      </c>
      <c r="D37" s="16" t="inlineStr">
        <is>
          <t>Profile update requests need at least one change and go to the checker; the maker can withdraw a pending request</t>
        </is>
      </c>
      <c r="E37" s="15">
        <f>COUNTIF(Cases!$C:$C,A37)</f>
        <v/>
      </c>
      <c r="F37" s="15">
        <f>COUNTIFS(Cases!$C:$C,A37,Cases!$L:$L,"Passed")</f>
        <v/>
      </c>
      <c r="G37" s="15">
        <f>COUNTIFS(Cases!$C:$C,A37,Cases!$L:$L,"Failed")</f>
        <v/>
      </c>
      <c r="H37" s="15">
        <f>COUNTIFS(Cases!$C:$C,A37,Cases!$L:$L,"Blocked")</f>
        <v/>
      </c>
      <c r="I37" s="15">
        <f>COUNTIFS(Cases!$C:$C,A37,Cases!$L:$L,"Not executed")</f>
        <v/>
      </c>
    </row>
    <row r="38">
      <c r="A38" s="15" t="inlineStr">
        <is>
          <t>TC-037</t>
        </is>
      </c>
      <c r="B38" s="15" t="inlineStr">
        <is>
          <t>TS-10</t>
        </is>
      </c>
      <c r="C38" s="16" t="inlineStr">
        <is>
          <t>AGT – Agent and agency management</t>
        </is>
      </c>
      <c r="D38" s="16" t="inlineStr">
        <is>
          <t>Agent search by code, name, agency, status and type</t>
        </is>
      </c>
      <c r="E38" s="15">
        <f>COUNTIF(Cases!$C:$C,A38)</f>
        <v/>
      </c>
      <c r="F38" s="15">
        <f>COUNTIFS(Cases!$C:$C,A38,Cases!$L:$L,"Passed")</f>
        <v/>
      </c>
      <c r="G38" s="15">
        <f>COUNTIFS(Cases!$C:$C,A38,Cases!$L:$L,"Failed")</f>
        <v/>
      </c>
      <c r="H38" s="15">
        <f>COUNTIFS(Cases!$C:$C,A38,Cases!$L:$L,"Blocked")</f>
        <v/>
      </c>
      <c r="I38" s="15">
        <f>COUNTIFS(Cases!$C:$C,A38,Cases!$L:$L,"Not executed")</f>
        <v/>
      </c>
    </row>
    <row r="39">
      <c r="A39" s="15" t="inlineStr">
        <is>
          <t>TC-038</t>
        </is>
      </c>
      <c r="B39" s="15" t="inlineStr">
        <is>
          <t>TS-10</t>
        </is>
      </c>
      <c r="C39" s="16" t="inlineStr">
        <is>
          <t>AGT – Agent and agency management</t>
        </is>
      </c>
      <c r="D39" s="16" t="inlineStr">
        <is>
          <t>Status changes follow the allowed transitions (Pending, Active, Inactive, Suspended, Terminated) and need a reason and approval</t>
        </is>
      </c>
      <c r="E39" s="15">
        <f>COUNTIF(Cases!$C:$C,A39)</f>
        <v/>
      </c>
      <c r="F39" s="15">
        <f>COUNTIFS(Cases!$C:$C,A39,Cases!$L:$L,"Passed")</f>
        <v/>
      </c>
      <c r="G39" s="15">
        <f>COUNTIFS(Cases!$C:$C,A39,Cases!$L:$L,"Failed")</f>
        <v/>
      </c>
      <c r="H39" s="15">
        <f>COUNTIFS(Cases!$C:$C,A39,Cases!$L:$L,"Blocked")</f>
        <v/>
      </c>
      <c r="I39" s="15">
        <f>COUNTIFS(Cases!$C:$C,A39,Cases!$L:$L,"Not executed")</f>
        <v/>
      </c>
    </row>
    <row r="40">
      <c r="A40" s="15" t="inlineStr">
        <is>
          <t>TC-039</t>
        </is>
      </c>
      <c r="B40" s="15" t="inlineStr">
        <is>
          <t>TS-10</t>
        </is>
      </c>
      <c r="C40" s="16" t="inlineStr">
        <is>
          <t>AGT – Agent and agency management</t>
        </is>
      </c>
      <c r="D40" s="16" t="inlineStr">
        <is>
          <t>Agency created and maintained with validation; agents listed under it; payment block can be lifted</t>
        </is>
      </c>
      <c r="E40" s="15">
        <f>COUNTIF(Cases!$C:$C,A40)</f>
        <v/>
      </c>
      <c r="F40" s="15">
        <f>COUNTIFS(Cases!$C:$C,A40,Cases!$L:$L,"Passed")</f>
        <v/>
      </c>
      <c r="G40" s="15">
        <f>COUNTIFS(Cases!$C:$C,A40,Cases!$L:$L,"Failed")</f>
        <v/>
      </c>
      <c r="H40" s="15">
        <f>COUNTIFS(Cases!$C:$C,A40,Cases!$L:$L,"Blocked")</f>
        <v/>
      </c>
      <c r="I40" s="15">
        <f>COUNTIFS(Cases!$C:$C,A40,Cases!$L:$L,"Not executed")</f>
        <v/>
      </c>
    </row>
    <row r="41">
      <c r="A41" s="15" t="inlineStr">
        <is>
          <t>TC-040</t>
        </is>
      </c>
      <c r="B41" s="15" t="inlineStr">
        <is>
          <t>TS-10</t>
        </is>
      </c>
      <c r="C41" s="16" t="inlineStr">
        <is>
          <t>AGT – Agent and agency management</t>
        </is>
      </c>
      <c r="D41" s="16" t="inlineStr">
        <is>
          <t>Back-office registration of an agent on behalf of an agency follows the same approval</t>
        </is>
      </c>
      <c r="E41" s="15">
        <f>COUNTIF(Cases!$C:$C,A41)</f>
        <v/>
      </c>
      <c r="F41" s="15">
        <f>COUNTIFS(Cases!$C:$C,A41,Cases!$L:$L,"Passed")</f>
        <v/>
      </c>
      <c r="G41" s="15">
        <f>COUNTIFS(Cases!$C:$C,A41,Cases!$L:$L,"Failed")</f>
        <v/>
      </c>
      <c r="H41" s="15">
        <f>COUNTIFS(Cases!$C:$C,A41,Cases!$L:$L,"Blocked")</f>
        <v/>
      </c>
      <c r="I41" s="15">
        <f>COUNTIFS(Cases!$C:$C,A41,Cases!$L:$L,"Not executed")</f>
        <v/>
      </c>
    </row>
    <row r="42">
      <c r="A42" s="15" t="inlineStr">
        <is>
          <t>TC-041</t>
        </is>
      </c>
      <c r="B42" s="15" t="inlineStr">
        <is>
          <t>TS-11</t>
        </is>
      </c>
      <c r="C42" s="16" t="inlineStr">
        <is>
          <t>PAR – Participant management</t>
        </is>
      </c>
      <c r="D42" s="16" t="inlineStr">
        <is>
          <t>Individual participants use NRIC or passport; corporate participants use a business registration number</t>
        </is>
      </c>
      <c r="E42" s="15">
        <f>COUNTIF(Cases!$C:$C,A42)</f>
        <v/>
      </c>
      <c r="F42" s="15">
        <f>COUNTIFS(Cases!$C:$C,A42,Cases!$L:$L,"Passed")</f>
        <v/>
      </c>
      <c r="G42" s="15">
        <f>COUNTIFS(Cases!$C:$C,A42,Cases!$L:$L,"Failed")</f>
        <v/>
      </c>
      <c r="H42" s="15">
        <f>COUNTIFS(Cases!$C:$C,A42,Cases!$L:$L,"Blocked")</f>
        <v/>
      </c>
      <c r="I42" s="15">
        <f>COUNTIFS(Cases!$C:$C,A42,Cases!$L:$L,"Not executed")</f>
        <v/>
      </c>
    </row>
    <row r="43">
      <c r="A43" s="15" t="inlineStr">
        <is>
          <t>TC-042</t>
        </is>
      </c>
      <c r="B43" s="15" t="inlineStr">
        <is>
          <t>TS-11</t>
        </is>
      </c>
      <c r="C43" s="16" t="inlineStr">
        <is>
          <t>PAR – Participant management</t>
        </is>
      </c>
      <c r="D43" s="16" t="inlineStr">
        <is>
          <t>Participant number PT/yy/nnnnnn assigned; mandatory fields and formats validated</t>
        </is>
      </c>
      <c r="E43" s="15">
        <f>COUNTIF(Cases!$C:$C,A43)</f>
        <v/>
      </c>
      <c r="F43" s="15">
        <f>COUNTIFS(Cases!$C:$C,A43,Cases!$L:$L,"Passed")</f>
        <v/>
      </c>
      <c r="G43" s="15">
        <f>COUNTIFS(Cases!$C:$C,A43,Cases!$L:$L,"Failed")</f>
        <v/>
      </c>
      <c r="H43" s="15">
        <f>COUNTIFS(Cases!$C:$C,A43,Cases!$L:$L,"Blocked")</f>
        <v/>
      </c>
      <c r="I43" s="15">
        <f>COUNTIFS(Cases!$C:$C,A43,Cases!$L:$L,"Not executed")</f>
        <v/>
      </c>
    </row>
    <row r="44">
      <c r="A44" s="15" t="inlineStr">
        <is>
          <t>TC-043</t>
        </is>
      </c>
      <c r="B44" s="15" t="inlineStr">
        <is>
          <t>TS-11</t>
        </is>
      </c>
      <c r="C44" s="16" t="inlineStr">
        <is>
          <t>PAR – Participant management</t>
        </is>
      </c>
      <c r="D44" s="16" t="inlineStr">
        <is>
          <t>Participant search by name, number and exact identification number</t>
        </is>
      </c>
      <c r="E44" s="15">
        <f>COUNTIF(Cases!$C:$C,A44)</f>
        <v/>
      </c>
      <c r="F44" s="15">
        <f>COUNTIFS(Cases!$C:$C,A44,Cases!$L:$L,"Passed")</f>
        <v/>
      </c>
      <c r="G44" s="15">
        <f>COUNTIFS(Cases!$C:$C,A44,Cases!$L:$L,"Failed")</f>
        <v/>
      </c>
      <c r="H44" s="15">
        <f>COUNTIFS(Cases!$C:$C,A44,Cases!$L:$L,"Blocked")</f>
        <v/>
      </c>
      <c r="I44" s="15">
        <f>COUNTIFS(Cases!$C:$C,A44,Cases!$L:$L,"Not executed")</f>
        <v/>
      </c>
    </row>
    <row r="45">
      <c r="A45" s="15" t="inlineStr">
        <is>
          <t>TC-044</t>
        </is>
      </c>
      <c r="B45" s="15" t="inlineStr">
        <is>
          <t>TS-11</t>
        </is>
      </c>
      <c r="C45" s="16" t="inlineStr">
        <is>
          <t>PAR – Participant management</t>
        </is>
      </c>
      <c r="D45" s="16" t="inlineStr">
        <is>
          <t>Participant updates go through approval and need at least one change</t>
        </is>
      </c>
      <c r="E45" s="15">
        <f>COUNTIF(Cases!$C:$C,A45)</f>
        <v/>
      </c>
      <c r="F45" s="15">
        <f>COUNTIFS(Cases!$C:$C,A45,Cases!$L:$L,"Passed")</f>
        <v/>
      </c>
      <c r="G45" s="15">
        <f>COUNTIFS(Cases!$C:$C,A45,Cases!$L:$L,"Failed")</f>
        <v/>
      </c>
      <c r="H45" s="15">
        <f>COUNTIFS(Cases!$C:$C,A45,Cases!$L:$L,"Blocked")</f>
        <v/>
      </c>
      <c r="I45" s="15">
        <f>COUNTIFS(Cases!$C:$C,A45,Cases!$L:$L,"Not executed")</f>
        <v/>
      </c>
    </row>
    <row r="46">
      <c r="A46" s="15" t="inlineStr">
        <is>
          <t>TC-045</t>
        </is>
      </c>
      <c r="B46" s="15" t="inlineStr">
        <is>
          <t>TS-12</t>
        </is>
      </c>
      <c r="C46" s="16" t="inlineStr">
        <is>
          <t>PAR – Participant management</t>
        </is>
      </c>
      <c r="D46" s="16" t="inlineStr">
        <is>
          <t>Duplicate identification number refused with the existing participant number; the wizard offers the existing record</t>
        </is>
      </c>
      <c r="E46" s="15">
        <f>COUNTIF(Cases!$C:$C,A46)</f>
        <v/>
      </c>
      <c r="F46" s="15">
        <f>COUNTIFS(Cases!$C:$C,A46,Cases!$L:$L,"Passed")</f>
        <v/>
      </c>
      <c r="G46" s="15">
        <f>COUNTIFS(Cases!$C:$C,A46,Cases!$L:$L,"Failed")</f>
        <v/>
      </c>
      <c r="H46" s="15">
        <f>COUNTIFS(Cases!$C:$C,A46,Cases!$L:$L,"Blocked")</f>
        <v/>
      </c>
      <c r="I46" s="15">
        <f>COUNTIFS(Cases!$C:$C,A46,Cases!$L:$L,"Not executed")</f>
        <v/>
      </c>
    </row>
    <row r="47">
      <c r="A47" s="15" t="inlineStr">
        <is>
          <t>TC-046</t>
        </is>
      </c>
      <c r="B47" s="15" t="inlineStr">
        <is>
          <t>TS-12</t>
        </is>
      </c>
      <c r="C47" s="16" t="inlineStr">
        <is>
          <t>PAR – Participant management</t>
        </is>
      </c>
      <c r="D47" s="16" t="inlineStr">
        <is>
          <t>Exact-ID lookup from another agency returns a masked summary only</t>
        </is>
      </c>
      <c r="E47" s="15">
        <f>COUNTIF(Cases!$C:$C,A47)</f>
        <v/>
      </c>
      <c r="F47" s="15">
        <f>COUNTIFS(Cases!$C:$C,A47,Cases!$L:$L,"Passed")</f>
        <v/>
      </c>
      <c r="G47" s="15">
        <f>COUNTIFS(Cases!$C:$C,A47,Cases!$L:$L,"Failed")</f>
        <v/>
      </c>
      <c r="H47" s="15">
        <f>COUNTIFS(Cases!$C:$C,A47,Cases!$L:$L,"Blocked")</f>
        <v/>
      </c>
      <c r="I47" s="15">
        <f>COUNTIFS(Cases!$C:$C,A47,Cases!$L:$L,"Not executed")</f>
        <v/>
      </c>
    </row>
    <row r="48">
      <c r="A48" s="15" t="inlineStr">
        <is>
          <t>TC-047</t>
        </is>
      </c>
      <c r="B48" s="15" t="inlineStr">
        <is>
          <t>TS-12</t>
        </is>
      </c>
      <c r="C48" s="16" t="inlineStr">
        <is>
          <t>PAR – Participant management</t>
        </is>
      </c>
      <c r="D48" s="16" t="inlineStr">
        <is>
          <t>Full profile visible to an agency only once it holds business with the participant</t>
        </is>
      </c>
      <c r="E48" s="15">
        <f>COUNTIF(Cases!$C:$C,A48)</f>
        <v/>
      </c>
      <c r="F48" s="15">
        <f>COUNTIFS(Cases!$C:$C,A48,Cases!$L:$L,"Passed")</f>
        <v/>
      </c>
      <c r="G48" s="15">
        <f>COUNTIFS(Cases!$C:$C,A48,Cases!$L:$L,"Failed")</f>
        <v/>
      </c>
      <c r="H48" s="15">
        <f>COUNTIFS(Cases!$C:$C,A48,Cases!$L:$L,"Blocked")</f>
        <v/>
      </c>
      <c r="I48" s="15">
        <f>COUNTIFS(Cases!$C:$C,A48,Cases!$L:$L,"Not executed")</f>
        <v/>
      </c>
    </row>
    <row r="49">
      <c r="A49" s="15" t="inlineStr">
        <is>
          <t>TC-048</t>
        </is>
      </c>
      <c r="B49" s="15" t="inlineStr">
        <is>
          <t>TS-13</t>
        </is>
      </c>
      <c r="C49" s="16" t="inlineStr">
        <is>
          <t>AML – AML/KYC screening</t>
        </is>
      </c>
      <c r="D49" s="16" t="inlineStr">
        <is>
          <t>Name matching normalises spelling, honorifics and transliteration; score ≥ threshold flags the subject</t>
        </is>
      </c>
      <c r="E49" s="15">
        <f>COUNTIF(Cases!$C:$C,A49)</f>
        <v/>
      </c>
      <c r="F49" s="15">
        <f>COUNTIFS(Cases!$C:$C,A49,Cases!$L:$L,"Passed")</f>
        <v/>
      </c>
      <c r="G49" s="15">
        <f>COUNTIFS(Cases!$C:$C,A49,Cases!$L:$L,"Failed")</f>
        <v/>
      </c>
      <c r="H49" s="15">
        <f>COUNTIFS(Cases!$C:$C,A49,Cases!$L:$L,"Blocked")</f>
        <v/>
      </c>
      <c r="I49" s="15">
        <f>COUNTIFS(Cases!$C:$C,A49,Cases!$L:$L,"Not executed")</f>
        <v/>
      </c>
    </row>
    <row r="50">
      <c r="A50" s="15" t="inlineStr">
        <is>
          <t>TC-049</t>
        </is>
      </c>
      <c r="B50" s="15" t="inlineStr">
        <is>
          <t>TS-13</t>
        </is>
      </c>
      <c r="C50" s="16" t="inlineStr">
        <is>
          <t>AML – AML/KYC screening</t>
        </is>
      </c>
      <c r="D50" s="16" t="inlineStr">
        <is>
          <t>Flagged participants cannot be submitted (AML_REVIEW_PENDING); rejected participants cannot be quoted (AML_REJECTED)</t>
        </is>
      </c>
      <c r="E50" s="15">
        <f>COUNTIF(Cases!$C:$C,A50)</f>
        <v/>
      </c>
      <c r="F50" s="15">
        <f>COUNTIFS(Cases!$C:$C,A50,Cases!$L:$L,"Passed")</f>
        <v/>
      </c>
      <c r="G50" s="15">
        <f>COUNTIFS(Cases!$C:$C,A50,Cases!$L:$L,"Failed")</f>
        <v/>
      </c>
      <c r="H50" s="15">
        <f>COUNTIFS(Cases!$C:$C,A50,Cases!$L:$L,"Blocked")</f>
        <v/>
      </c>
      <c r="I50" s="15">
        <f>COUNTIFS(Cases!$C:$C,A50,Cases!$L:$L,"Not executed")</f>
        <v/>
      </c>
    </row>
    <row r="51">
      <c r="A51" s="15" t="inlineStr">
        <is>
          <t>TC-050</t>
        </is>
      </c>
      <c r="B51" s="15" t="inlineStr">
        <is>
          <t>TS-13</t>
        </is>
      </c>
      <c r="C51" s="16" t="inlineStr">
        <is>
          <t>AML – AML/KYC screening</t>
        </is>
      </c>
      <c r="D51" s="16" t="inlineStr">
        <is>
          <t>Compliance review needs remarks, is recorded once with date and user, and updates the subject's status</t>
        </is>
      </c>
      <c r="E51" s="15">
        <f>COUNTIF(Cases!$C:$C,A51)</f>
        <v/>
      </c>
      <c r="F51" s="15">
        <f>COUNTIFS(Cases!$C:$C,A51,Cases!$L:$L,"Passed")</f>
        <v/>
      </c>
      <c r="G51" s="15">
        <f>COUNTIFS(Cases!$C:$C,A51,Cases!$L:$L,"Failed")</f>
        <v/>
      </c>
      <c r="H51" s="15">
        <f>COUNTIFS(Cases!$C:$C,A51,Cases!$L:$L,"Blocked")</f>
        <v/>
      </c>
      <c r="I51" s="15">
        <f>COUNTIFS(Cases!$C:$C,A51,Cases!$L:$L,"Not executed")</f>
        <v/>
      </c>
    </row>
    <row r="52">
      <c r="A52" s="15" t="inlineStr">
        <is>
          <t>TC-051</t>
        </is>
      </c>
      <c r="B52" s="15" t="inlineStr">
        <is>
          <t>TS-13</t>
        </is>
      </c>
      <c r="C52" s="16" t="inlineStr">
        <is>
          <t>AML – AML/KYC screening</t>
        </is>
      </c>
      <c r="D52" s="16" t="inlineStr">
        <is>
          <t>AML functions are restricted to Compliance; results and dates are displayed</t>
        </is>
      </c>
      <c r="E52" s="15">
        <f>COUNTIF(Cases!$C:$C,A52)</f>
        <v/>
      </c>
      <c r="F52" s="15">
        <f>COUNTIFS(Cases!$C:$C,A52,Cases!$L:$L,"Passed")</f>
        <v/>
      </c>
      <c r="G52" s="15">
        <f>COUNTIFS(Cases!$C:$C,A52,Cases!$L:$L,"Failed")</f>
        <v/>
      </c>
      <c r="H52" s="15">
        <f>COUNTIFS(Cases!$C:$C,A52,Cases!$L:$L,"Blocked")</f>
        <v/>
      </c>
      <c r="I52" s="15">
        <f>COUNTIFS(Cases!$C:$C,A52,Cases!$L:$L,"Not executed")</f>
        <v/>
      </c>
    </row>
    <row r="53">
      <c r="A53" s="15" t="inlineStr">
        <is>
          <t>TC-052</t>
        </is>
      </c>
      <c r="B53" s="15" t="inlineStr">
        <is>
          <t>TS-14</t>
        </is>
      </c>
      <c r="C53" s="16" t="inlineStr">
        <is>
          <t>AML – AML/KYC screening</t>
        </is>
      </c>
      <c r="D53" s="16" t="inlineStr">
        <is>
          <t>CSV import validates the header and rows; quoted fields and CRLF handled</t>
        </is>
      </c>
      <c r="E53" s="15">
        <f>COUNTIF(Cases!$C:$C,A53)</f>
        <v/>
      </c>
      <c r="F53" s="15">
        <f>COUNTIFS(Cases!$C:$C,A53,Cases!$L:$L,"Passed")</f>
        <v/>
      </c>
      <c r="G53" s="15">
        <f>COUNTIFS(Cases!$C:$C,A53,Cases!$L:$L,"Failed")</f>
        <v/>
      </c>
      <c r="H53" s="15">
        <f>COUNTIFS(Cases!$C:$C,A53,Cases!$L:$L,"Blocked")</f>
        <v/>
      </c>
      <c r="I53" s="15">
        <f>COUNTIFS(Cases!$C:$C,A53,Cases!$L:$L,"Not executed")</f>
        <v/>
      </c>
    </row>
    <row r="54">
      <c r="A54" s="15" t="inlineStr">
        <is>
          <t>TC-053</t>
        </is>
      </c>
      <c r="B54" s="15" t="inlineStr">
        <is>
          <t>TS-14</t>
        </is>
      </c>
      <c r="C54" s="16" t="inlineStr">
        <is>
          <t>AML – AML/KYC screening</t>
        </is>
      </c>
      <c r="D54" s="16" t="inlineStr">
        <is>
          <t>Manual entries and deactivation</t>
        </is>
      </c>
      <c r="E54" s="15">
        <f>COUNTIF(Cases!$C:$C,A54)</f>
        <v/>
      </c>
      <c r="F54" s="15">
        <f>COUNTIFS(Cases!$C:$C,A54,Cases!$L:$L,"Passed")</f>
        <v/>
      </c>
      <c r="G54" s="15">
        <f>COUNTIFS(Cases!$C:$C,A54,Cases!$L:$L,"Failed")</f>
        <v/>
      </c>
      <c r="H54" s="15">
        <f>COUNTIFS(Cases!$C:$C,A54,Cases!$L:$L,"Blocked")</f>
        <v/>
      </c>
      <c r="I54" s="15">
        <f>COUNTIFS(Cases!$C:$C,A54,Cases!$L:$L,"Not executed")</f>
        <v/>
      </c>
    </row>
    <row r="55">
      <c r="A55" s="15" t="inlineStr">
        <is>
          <t>TC-054</t>
        </is>
      </c>
      <c r="B55" s="15" t="inlineStr">
        <is>
          <t>TS-15</t>
        </is>
      </c>
      <c r="C55" s="16" t="inlineStr">
        <is>
          <t>PRD – Products and rating</t>
        </is>
      </c>
      <c r="D55" s="16" t="inlineStr">
        <is>
          <t>Contribution = decreasing-term rate on the flat-rate financing total by age next birthday; minimum contribution applies</t>
        </is>
      </c>
      <c r="E55" s="15">
        <f>COUNTIF(Cases!$C:$C,A55)</f>
        <v/>
      </c>
      <c r="F55" s="15">
        <f>COUNTIFS(Cases!$C:$C,A55,Cases!$L:$L,"Passed")</f>
        <v/>
      </c>
      <c r="G55" s="15">
        <f>COUNTIFS(Cases!$C:$C,A55,Cases!$L:$L,"Failed")</f>
        <v/>
      </c>
      <c r="H55" s="15">
        <f>COUNTIFS(Cases!$C:$C,A55,Cases!$L:$L,"Blocked")</f>
        <v/>
      </c>
      <c r="I55" s="15">
        <f>COUNTIFS(Cases!$C:$C,A55,Cases!$L:$L,"Not executed")</f>
        <v/>
      </c>
    </row>
    <row r="56">
      <c r="A56" s="15" t="inlineStr">
        <is>
          <t>TC-055</t>
        </is>
      </c>
      <c r="B56" s="15" t="inlineStr">
        <is>
          <t>TS-15</t>
        </is>
      </c>
      <c r="C56" s="16" t="inlineStr">
        <is>
          <t>PRD – Products and rating</t>
        </is>
      </c>
      <c r="D56" s="16" t="inlineStr">
        <is>
          <t>Financing above B$150,000 (high-risk limit) is referred to IIFT Sales; exactly at the limit is not</t>
        </is>
      </c>
      <c r="E56" s="15">
        <f>COUNTIF(Cases!$C:$C,A56)</f>
        <v/>
      </c>
      <c r="F56" s="15">
        <f>COUNTIFS(Cases!$C:$C,A56,Cases!$L:$L,"Passed")</f>
        <v/>
      </c>
      <c r="G56" s="15">
        <f>COUNTIFS(Cases!$C:$C,A56,Cases!$L:$L,"Failed")</f>
        <v/>
      </c>
      <c r="H56" s="15">
        <f>COUNTIFS(Cases!$C:$C,A56,Cases!$L:$L,"Blocked")</f>
        <v/>
      </c>
      <c r="I56" s="15">
        <f>COUNTIFS(Cases!$C:$C,A56,Cases!$L:$L,"Not executed")</f>
        <v/>
      </c>
    </row>
    <row r="57">
      <c r="A57" s="15" t="inlineStr">
        <is>
          <t>TC-056</t>
        </is>
      </c>
      <c r="B57" s="15" t="inlineStr">
        <is>
          <t>TS-15</t>
        </is>
      </c>
      <c r="C57" s="16" t="inlineStr">
        <is>
          <t>PRD – Products and rating</t>
        </is>
      </c>
      <c r="D57" s="16" t="inlineStr">
        <is>
          <t>Cover past the maximum age at expiry or outside the amount/tenure range is refused; all missing risk fields reported together</t>
        </is>
      </c>
      <c r="E57" s="15">
        <f>COUNTIF(Cases!$C:$C,A57)</f>
        <v/>
      </c>
      <c r="F57" s="15">
        <f>COUNTIFS(Cases!$C:$C,A57,Cases!$L:$L,"Passed")</f>
        <v/>
      </c>
      <c r="G57" s="15">
        <f>COUNTIFS(Cases!$C:$C,A57,Cases!$L:$L,"Failed")</f>
        <v/>
      </c>
      <c r="H57" s="15">
        <f>COUNTIFS(Cases!$C:$C,A57,Cases!$L:$L,"Blocked")</f>
        <v/>
      </c>
      <c r="I57" s="15">
        <f>COUNTIFS(Cases!$C:$C,A57,Cases!$L:$L,"Not executed")</f>
        <v/>
      </c>
    </row>
    <row r="58">
      <c r="A58" s="15" t="inlineStr">
        <is>
          <t>TC-057</t>
        </is>
      </c>
      <c r="B58" s="15" t="inlineStr">
        <is>
          <t>TS-15</t>
        </is>
      </c>
      <c r="C58" s="16" t="inlineStr">
        <is>
          <t>PRD – Products and rating</t>
        </is>
      </c>
      <c r="D58" s="16" t="inlineStr">
        <is>
          <t>Products with profit basis NONE apply no profit loading; configuration validated at start-up</t>
        </is>
      </c>
      <c r="E58" s="15">
        <f>COUNTIF(Cases!$C:$C,A58)</f>
        <v/>
      </c>
      <c r="F58" s="15">
        <f>COUNTIFS(Cases!$C:$C,A58,Cases!$L:$L,"Passed")</f>
        <v/>
      </c>
      <c r="G58" s="15">
        <f>COUNTIFS(Cases!$C:$C,A58,Cases!$L:$L,"Failed")</f>
        <v/>
      </c>
      <c r="H58" s="15">
        <f>COUNTIFS(Cases!$C:$C,A58,Cases!$L:$L,"Blocked")</f>
        <v/>
      </c>
      <c r="I58" s="15">
        <f>COUNTIFS(Cases!$C:$C,A58,Cases!$L:$L,"Not executed")</f>
        <v/>
      </c>
    </row>
    <row r="59">
      <c r="A59" s="15" t="inlineStr">
        <is>
          <t>TC-058</t>
        </is>
      </c>
      <c r="B59" s="15" t="inlineStr">
        <is>
          <t>TS-16</t>
        </is>
      </c>
      <c r="C59" s="16" t="inlineStr">
        <is>
          <t>PRD – Products and rating</t>
        </is>
      </c>
      <c r="D59" s="16" t="inlineStr">
        <is>
          <t>Plan A/B/C sum covered 15,000/30,000/50,000 with contributions 75/135/210; additional cover adds 90/120/140</t>
        </is>
      </c>
      <c r="E59" s="15">
        <f>COUNTIF(Cases!$C:$C,A59)</f>
        <v/>
      </c>
      <c r="F59" s="15">
        <f>COUNTIFS(Cases!$C:$C,A59,Cases!$L:$L,"Passed")</f>
        <v/>
      </c>
      <c r="G59" s="15">
        <f>COUNTIFS(Cases!$C:$C,A59,Cases!$L:$L,"Failed")</f>
        <v/>
      </c>
      <c r="H59" s="15">
        <f>COUNTIFS(Cases!$C:$C,A59,Cases!$L:$L,"Blocked")</f>
        <v/>
      </c>
      <c r="I59" s="15">
        <f>COUNTIFS(Cases!$C:$C,A59,Cases!$L:$L,"Not executed")</f>
        <v/>
      </c>
    </row>
    <row r="60">
      <c r="A60" s="15" t="inlineStr">
        <is>
          <t>TC-059</t>
        </is>
      </c>
      <c r="B60" s="15" t="inlineStr">
        <is>
          <t>TS-16</t>
        </is>
      </c>
      <c r="C60" s="16" t="inlineStr">
        <is>
          <t>PRD – Products and rating</t>
        </is>
      </c>
      <c r="D60" s="16" t="inlineStr">
        <is>
          <t>Only Occupational Class I participants are eligible</t>
        </is>
      </c>
      <c r="E60" s="15">
        <f>COUNTIF(Cases!$C:$C,A60)</f>
        <v/>
      </c>
      <c r="F60" s="15">
        <f>COUNTIFS(Cases!$C:$C,A60,Cases!$L:$L,"Passed")</f>
        <v/>
      </c>
      <c r="G60" s="15">
        <f>COUNTIFS(Cases!$C:$C,A60,Cases!$L:$L,"Failed")</f>
        <v/>
      </c>
      <c r="H60" s="15">
        <f>COUNTIFS(Cases!$C:$C,A60,Cases!$L:$L,"Blocked")</f>
        <v/>
      </c>
      <c r="I60" s="15">
        <f>COUNTIFS(Cases!$C:$C,A60,Cases!$L:$L,"Not executed")</f>
        <v/>
      </c>
    </row>
    <row r="61">
      <c r="A61" s="15" t="inlineStr">
        <is>
          <t>TC-060</t>
        </is>
      </c>
      <c r="B61" s="15" t="inlineStr">
        <is>
          <t>TS-17</t>
        </is>
      </c>
      <c r="C61" s="16" t="inlineStr">
        <is>
          <t>PRD – Products and rating</t>
        </is>
      </c>
      <c r="D61" s="16" t="inlineStr">
        <is>
          <t>Plan A/B/C sum covered 5,000/10,000/15,000; Wider (Child) applies the 1.6 loading</t>
        </is>
      </c>
      <c r="E61" s="15">
        <f>COUNTIF(Cases!$C:$C,A61)</f>
        <v/>
      </c>
      <c r="F61" s="15">
        <f>COUNTIFS(Cases!$C:$C,A61,Cases!$L:$L,"Passed")</f>
        <v/>
      </c>
      <c r="G61" s="15">
        <f>COUNTIFS(Cases!$C:$C,A61,Cases!$L:$L,"Failed")</f>
        <v/>
      </c>
      <c r="H61" s="15">
        <f>COUNTIFS(Cases!$C:$C,A61,Cases!$L:$L,"Blocked")</f>
        <v/>
      </c>
      <c r="I61" s="15">
        <f>COUNTIFS(Cases!$C:$C,A61,Cases!$L:$L,"Not executed")</f>
        <v/>
      </c>
    </row>
    <row r="62">
      <c r="A62" s="15" t="inlineStr">
        <is>
          <t>TC-061</t>
        </is>
      </c>
      <c r="B62" s="15" t="inlineStr">
        <is>
          <t>TS-17</t>
        </is>
      </c>
      <c r="C62" s="16" t="inlineStr">
        <is>
          <t>PRD – Products and rating</t>
        </is>
      </c>
      <c r="D62" s="16" t="inlineStr">
        <is>
          <t>Khairat cannot be renewed through the portal</t>
        </is>
      </c>
      <c r="E62" s="15">
        <f>COUNTIF(Cases!$C:$C,A62)</f>
        <v/>
      </c>
      <c r="F62" s="15">
        <f>COUNTIFS(Cases!$C:$C,A62,Cases!$L:$L,"Passed")</f>
        <v/>
      </c>
      <c r="G62" s="15">
        <f>COUNTIFS(Cases!$C:$C,A62,Cases!$L:$L,"Failed")</f>
        <v/>
      </c>
      <c r="H62" s="15">
        <f>COUNTIFS(Cases!$C:$C,A62,Cases!$L:$L,"Blocked")</f>
        <v/>
      </c>
      <c r="I62" s="15">
        <f>COUNTIFS(Cases!$C:$C,A62,Cases!$L:$L,"Not executed")</f>
        <v/>
      </c>
    </row>
    <row r="63">
      <c r="A63" s="15" t="inlineStr">
        <is>
          <t>TC-062</t>
        </is>
      </c>
      <c r="B63" s="15" t="inlineStr">
        <is>
          <t>TS-18</t>
        </is>
      </c>
      <c r="C63" s="16" t="inlineStr">
        <is>
          <t>PRD – Products and rating</t>
        </is>
      </c>
      <c r="D63" s="16" t="inlineStr">
        <is>
          <t>1-year and 2-year cover priced from the plan table; helper details required</t>
        </is>
      </c>
      <c r="E63" s="15">
        <f>COUNTIF(Cases!$C:$C,A63)</f>
        <v/>
      </c>
      <c r="F63" s="15">
        <f>COUNTIFS(Cases!$C:$C,A63,Cases!$L:$L,"Passed")</f>
        <v/>
      </c>
      <c r="G63" s="15">
        <f>COUNTIFS(Cases!$C:$C,A63,Cases!$L:$L,"Failed")</f>
        <v/>
      </c>
      <c r="H63" s="15">
        <f>COUNTIFS(Cases!$C:$C,A63,Cases!$L:$L,"Blocked")</f>
        <v/>
      </c>
      <c r="I63" s="15">
        <f>COUNTIFS(Cases!$C:$C,A63,Cases!$L:$L,"Not executed")</f>
        <v/>
      </c>
    </row>
    <row r="64">
      <c r="A64" s="15" t="inlineStr">
        <is>
          <t>TC-063</t>
        </is>
      </c>
      <c r="B64" s="15" t="inlineStr">
        <is>
          <t>TS-19</t>
        </is>
      </c>
      <c r="C64" s="16" t="inlineStr">
        <is>
          <t>PRD – Products and rating</t>
        </is>
      </c>
      <c r="D64" s="16" t="inlineStr">
        <is>
          <t>Basic 20,000 and Tertiary 50,000 plans</t>
        </is>
      </c>
      <c r="E64" s="15">
        <f>COUNTIF(Cases!$C:$C,A64)</f>
        <v/>
      </c>
      <c r="F64" s="15">
        <f>COUNTIFS(Cases!$C:$C,A64,Cases!$L:$L,"Passed")</f>
        <v/>
      </c>
      <c r="G64" s="15">
        <f>COUNTIFS(Cases!$C:$C,A64,Cases!$L:$L,"Failed")</f>
        <v/>
      </c>
      <c r="H64" s="15">
        <f>COUNTIFS(Cases!$C:$C,A64,Cases!$L:$L,"Blocked")</f>
        <v/>
      </c>
      <c r="I64" s="15">
        <f>COUNTIFS(Cases!$C:$C,A64,Cases!$L:$L,"Not executed")</f>
        <v/>
      </c>
    </row>
    <row r="65">
      <c r="A65" s="15" t="inlineStr">
        <is>
          <t>TC-064</t>
        </is>
      </c>
      <c r="B65" s="15" t="inlineStr">
        <is>
          <t>TS-19</t>
        </is>
      </c>
      <c r="C65" s="16" t="inlineStr">
        <is>
          <t>PRD – Products and rating</t>
        </is>
      </c>
      <c r="D65" s="16" t="inlineStr">
        <is>
          <t>Eligibility: Brunei citizen, registered student, up to 65 next birthday</t>
        </is>
      </c>
      <c r="E65" s="15">
        <f>COUNTIF(Cases!$C:$C,A65)</f>
        <v/>
      </c>
      <c r="F65" s="15">
        <f>COUNTIFS(Cases!$C:$C,A65,Cases!$L:$L,"Passed")</f>
        <v/>
      </c>
      <c r="G65" s="15">
        <f>COUNTIFS(Cases!$C:$C,A65,Cases!$L:$L,"Failed")</f>
        <v/>
      </c>
      <c r="H65" s="15">
        <f>COUNTIFS(Cases!$C:$C,A65,Cases!$L:$L,"Blocked")</f>
        <v/>
      </c>
      <c r="I65" s="15">
        <f>COUNTIFS(Cases!$C:$C,A65,Cases!$L:$L,"Not executed")</f>
        <v/>
      </c>
    </row>
    <row r="66">
      <c r="A66" s="15" t="inlineStr">
        <is>
          <t>TC-065</t>
        </is>
      </c>
      <c r="B66" s="15" t="inlineStr">
        <is>
          <t>TS-20</t>
        </is>
      </c>
      <c r="C66" s="16" t="inlineStr">
        <is>
          <t>PRD – Products and rating</t>
        </is>
      </c>
      <c r="D66" s="16" t="inlineStr">
        <is>
          <t>Product configuration saved through the back-office is validated (plans, documents, questionnaire) and applied</t>
        </is>
      </c>
      <c r="E66" s="15">
        <f>COUNTIF(Cases!$C:$C,A66)</f>
        <v/>
      </c>
      <c r="F66" s="15">
        <f>COUNTIFS(Cases!$C:$C,A66,Cases!$L:$L,"Passed")</f>
        <v/>
      </c>
      <c r="G66" s="15">
        <f>COUNTIFS(Cases!$C:$C,A66,Cases!$L:$L,"Failed")</f>
        <v/>
      </c>
      <c r="H66" s="15">
        <f>COUNTIFS(Cases!$C:$C,A66,Cases!$L:$L,"Blocked")</f>
        <v/>
      </c>
      <c r="I66" s="15">
        <f>COUNTIFS(Cases!$C:$C,A66,Cases!$L:$L,"Not executed")</f>
        <v/>
      </c>
    </row>
    <row r="67">
      <c r="A67" s="15" t="inlineStr">
        <is>
          <t>TC-066</t>
        </is>
      </c>
      <c r="B67" s="15" t="inlineStr">
        <is>
          <t>TS-20</t>
        </is>
      </c>
      <c r="C67" s="16" t="inlineStr">
        <is>
          <t>PRD – Products and rating</t>
        </is>
      </c>
      <c r="D67" s="16" t="inlineStr">
        <is>
          <t>Plan labels fall back to the code for retired plans; undefined risk details are dropped</t>
        </is>
      </c>
      <c r="E67" s="15">
        <f>COUNTIF(Cases!$C:$C,A67)</f>
        <v/>
      </c>
      <c r="F67" s="15">
        <f>COUNTIFS(Cases!$C:$C,A67,Cases!$L:$L,"Passed")</f>
        <v/>
      </c>
      <c r="G67" s="15">
        <f>COUNTIFS(Cases!$C:$C,A67,Cases!$L:$L,"Failed")</f>
        <v/>
      </c>
      <c r="H67" s="15">
        <f>COUNTIFS(Cases!$C:$C,A67,Cases!$L:$L,"Blocked")</f>
        <v/>
      </c>
      <c r="I67" s="15">
        <f>COUNTIFS(Cases!$C:$C,A67,Cases!$L:$L,"Not executed")</f>
        <v/>
      </c>
    </row>
    <row r="68">
      <c r="A68" s="15" t="inlineStr">
        <is>
          <t>TC-067</t>
        </is>
      </c>
      <c r="B68" s="15" t="inlineStr">
        <is>
          <t>TS-21</t>
        </is>
      </c>
      <c r="C68" s="16" t="inlineStr">
        <is>
          <t>QUO – Quotation and submission</t>
        </is>
      </c>
      <c r="D68" s="16" t="inlineStr">
        <is>
          <t>Quotation created in DRAFT with QT/yy/nnnnnn and the calculated contribution</t>
        </is>
      </c>
      <c r="E68" s="15">
        <f>COUNTIF(Cases!$C:$C,A68)</f>
        <v/>
      </c>
      <c r="F68" s="15">
        <f>COUNTIFS(Cases!$C:$C,A68,Cases!$L:$L,"Passed")</f>
        <v/>
      </c>
      <c r="G68" s="15">
        <f>COUNTIFS(Cases!$C:$C,A68,Cases!$L:$L,"Failed")</f>
        <v/>
      </c>
      <c r="H68" s="15">
        <f>COUNTIFS(Cases!$C:$C,A68,Cases!$L:$L,"Blocked")</f>
        <v/>
      </c>
      <c r="I68" s="15">
        <f>COUNTIFS(Cases!$C:$C,A68,Cases!$L:$L,"Not executed")</f>
        <v/>
      </c>
    </row>
    <row r="69">
      <c r="A69" s="15" t="inlineStr">
        <is>
          <t>TC-068</t>
        </is>
      </c>
      <c r="B69" s="15" t="inlineStr">
        <is>
          <t>TS-21</t>
        </is>
      </c>
      <c r="C69" s="16" t="inlineStr">
        <is>
          <t>QUO – Quotation and submission</t>
        </is>
      </c>
      <c r="D69" s="16" t="inlineStr">
        <is>
          <t>Only drafts can be changed, discarded or signed; issued policies are locked</t>
        </is>
      </c>
      <c r="E69" s="15">
        <f>COUNTIF(Cases!$C:$C,A69)</f>
        <v/>
      </c>
      <c r="F69" s="15">
        <f>COUNTIFS(Cases!$C:$C,A69,Cases!$L:$L,"Passed")</f>
        <v/>
      </c>
      <c r="G69" s="15">
        <f>COUNTIFS(Cases!$C:$C,A69,Cases!$L:$L,"Failed")</f>
        <v/>
      </c>
      <c r="H69" s="15">
        <f>COUNTIFS(Cases!$C:$C,A69,Cases!$L:$L,"Blocked")</f>
        <v/>
      </c>
      <c r="I69" s="15">
        <f>COUNTIFS(Cases!$C:$C,A69,Cases!$L:$L,"Not executed")</f>
        <v/>
      </c>
    </row>
    <row r="70">
      <c r="A70" s="15" t="inlineStr">
        <is>
          <t>TC-069</t>
        </is>
      </c>
      <c r="B70" s="15" t="inlineStr">
        <is>
          <t>TS-21</t>
        </is>
      </c>
      <c r="C70" s="16" t="inlineStr">
        <is>
          <t>QUO – Quotation and submission</t>
        </is>
      </c>
      <c r="D70" s="16" t="inlineStr">
        <is>
          <t>Quotations expire after the validity period (30 days) and cannot be submitted</t>
        </is>
      </c>
      <c r="E70" s="15">
        <f>COUNTIF(Cases!$C:$C,A70)</f>
        <v/>
      </c>
      <c r="F70" s="15">
        <f>COUNTIFS(Cases!$C:$C,A70,Cases!$L:$L,"Passed")</f>
        <v/>
      </c>
      <c r="G70" s="15">
        <f>COUNTIFS(Cases!$C:$C,A70,Cases!$L:$L,"Failed")</f>
        <v/>
      </c>
      <c r="H70" s="15">
        <f>COUNTIFS(Cases!$C:$C,A70,Cases!$L:$L,"Blocked")</f>
        <v/>
      </c>
      <c r="I70" s="15">
        <f>COUNTIFS(Cases!$C:$C,A70,Cases!$L:$L,"Not executed")</f>
        <v/>
      </c>
    </row>
    <row r="71">
      <c r="A71" s="15" t="inlineStr">
        <is>
          <t>TC-070</t>
        </is>
      </c>
      <c r="B71" s="15" t="inlineStr">
        <is>
          <t>TS-21</t>
        </is>
      </c>
      <c r="C71" s="16" t="inlineStr">
        <is>
          <t>QUO – Quotation and submission</t>
        </is>
      </c>
      <c r="D71" s="16" t="inlineStr">
        <is>
          <t>The quotation wizard guides product, participant, cover and review steps for fixed-plan and financing products</t>
        </is>
      </c>
      <c r="E71" s="15">
        <f>COUNTIF(Cases!$C:$C,A71)</f>
        <v/>
      </c>
      <c r="F71" s="15">
        <f>COUNTIFS(Cases!$C:$C,A71,Cases!$L:$L,"Passed")</f>
        <v/>
      </c>
      <c r="G71" s="15">
        <f>COUNTIFS(Cases!$C:$C,A71,Cases!$L:$L,"Failed")</f>
        <v/>
      </c>
      <c r="H71" s="15">
        <f>COUNTIFS(Cases!$C:$C,A71,Cases!$L:$L,"Blocked")</f>
        <v/>
      </c>
      <c r="I71" s="15">
        <f>COUNTIFS(Cases!$C:$C,A71,Cases!$L:$L,"Not executed")</f>
        <v/>
      </c>
    </row>
    <row r="72">
      <c r="A72" s="15" t="inlineStr">
        <is>
          <t>TC-071</t>
        </is>
      </c>
      <c r="B72" s="15" t="inlineStr">
        <is>
          <t>TS-22</t>
        </is>
      </c>
      <c r="C72" s="16" t="inlineStr">
        <is>
          <t>QUO – Quotation and submission</t>
        </is>
      </c>
      <c r="D72" s="16" t="inlineStr">
        <is>
          <t>Every declaration must be answered; 'yes' needs details; unknown questions refused</t>
        </is>
      </c>
      <c r="E72" s="15">
        <f>COUNTIF(Cases!$C:$C,A72)</f>
        <v/>
      </c>
      <c r="F72" s="15">
        <f>COUNTIFS(Cases!$C:$C,A72,Cases!$L:$L,"Passed")</f>
        <v/>
      </c>
      <c r="G72" s="15">
        <f>COUNTIFS(Cases!$C:$C,A72,Cases!$L:$L,"Failed")</f>
        <v/>
      </c>
      <c r="H72" s="15">
        <f>COUNTIFS(Cases!$C:$C,A72,Cases!$L:$L,"Blocked")</f>
        <v/>
      </c>
      <c r="I72" s="15">
        <f>COUNTIFS(Cases!$C:$C,A72,Cases!$L:$L,"Not executed")</f>
        <v/>
      </c>
    </row>
    <row r="73">
      <c r="A73" s="15" t="inlineStr">
        <is>
          <t>TC-072</t>
        </is>
      </c>
      <c r="B73" s="15" t="inlineStr">
        <is>
          <t>TS-22</t>
        </is>
      </c>
      <c r="C73" s="16" t="inlineStr">
        <is>
          <t>QUO – Quotation and submission</t>
        </is>
      </c>
      <c r="D73" s="16" t="inlineStr">
        <is>
          <t>Nominee shares must total 100%; relationship must be a valid code; nominee ID numbers stay encrypted</t>
        </is>
      </c>
      <c r="E73" s="15">
        <f>COUNTIF(Cases!$C:$C,A73)</f>
        <v/>
      </c>
      <c r="F73" s="15">
        <f>COUNTIFS(Cases!$C:$C,A73,Cases!$L:$L,"Passed")</f>
        <v/>
      </c>
      <c r="G73" s="15">
        <f>COUNTIFS(Cases!$C:$C,A73,Cases!$L:$L,"Failed")</f>
        <v/>
      </c>
      <c r="H73" s="15">
        <f>COUNTIFS(Cases!$C:$C,A73,Cases!$L:$L,"Blocked")</f>
        <v/>
      </c>
      <c r="I73" s="15">
        <f>COUNTIFS(Cases!$C:$C,A73,Cases!$L:$L,"Not executed")</f>
        <v/>
      </c>
    </row>
    <row r="74">
      <c r="A74" s="15" t="inlineStr">
        <is>
          <t>TC-073</t>
        </is>
      </c>
      <c r="B74" s="15" t="inlineStr">
        <is>
          <t>TS-22</t>
        </is>
      </c>
      <c r="C74" s="16" t="inlineStr">
        <is>
          <t>QUO – Quotation and submission</t>
        </is>
      </c>
      <c r="D74" s="16" t="inlineStr">
        <is>
          <t>Mandatory documents per product must be uploaded; the submission lists what is missing</t>
        </is>
      </c>
      <c r="E74" s="15">
        <f>COUNTIF(Cases!$C:$C,A74)</f>
        <v/>
      </c>
      <c r="F74" s="15">
        <f>COUNTIFS(Cases!$C:$C,A74,Cases!$L:$L,"Passed")</f>
        <v/>
      </c>
      <c r="G74" s="15">
        <f>COUNTIFS(Cases!$C:$C,A74,Cases!$L:$L,"Failed")</f>
        <v/>
      </c>
      <c r="H74" s="15">
        <f>COUNTIFS(Cases!$C:$C,A74,Cases!$L:$L,"Blocked")</f>
        <v/>
      </c>
      <c r="I74" s="15">
        <f>COUNTIFS(Cases!$C:$C,A74,Cases!$L:$L,"Not executed")</f>
        <v/>
      </c>
    </row>
    <row r="75">
      <c r="A75" s="15" t="inlineStr">
        <is>
          <t>TC-074</t>
        </is>
      </c>
      <c r="B75" s="15" t="inlineStr">
        <is>
          <t>TS-22</t>
        </is>
      </c>
      <c r="C75" s="16" t="inlineStr">
        <is>
          <t>QUO – Quotation and submission</t>
        </is>
      </c>
      <c r="D75" s="16" t="inlineStr">
        <is>
          <t>Participant signature required (parameter) by on-screen PNG, e-signature link or signed proposal form</t>
        </is>
      </c>
      <c r="E75" s="15">
        <f>COUNTIF(Cases!$C:$C,A75)</f>
        <v/>
      </c>
      <c r="F75" s="15">
        <f>COUNTIFS(Cases!$C:$C,A75,Cases!$L:$L,"Passed")</f>
        <v/>
      </c>
      <c r="G75" s="15">
        <f>COUNTIFS(Cases!$C:$C,A75,Cases!$L:$L,"Failed")</f>
        <v/>
      </c>
      <c r="H75" s="15">
        <f>COUNTIFS(Cases!$C:$C,A75,Cases!$L:$L,"Blocked")</f>
        <v/>
      </c>
      <c r="I75" s="15">
        <f>COUNTIFS(Cases!$C:$C,A75,Cases!$L:$L,"Not executed")</f>
        <v/>
      </c>
    </row>
    <row r="76">
      <c r="A76" s="15" t="inlineStr">
        <is>
          <t>TC-075</t>
        </is>
      </c>
      <c r="B76" s="15" t="inlineStr">
        <is>
          <t>TS-23</t>
        </is>
      </c>
      <c r="C76" s="16" t="inlineStr">
        <is>
          <t>QUO – Quotation and submission</t>
        </is>
      </c>
      <c r="D76" s="16" t="inlineStr">
        <is>
          <t>Link sent to a valid participant e-mail with configurable expiry; event recorded</t>
        </is>
      </c>
      <c r="E76" s="15">
        <f>COUNTIF(Cases!$C:$C,A76)</f>
        <v/>
      </c>
      <c r="F76" s="15">
        <f>COUNTIFS(Cases!$C:$C,A76,Cases!$L:$L,"Passed")</f>
        <v/>
      </c>
      <c r="G76" s="15">
        <f>COUNTIFS(Cases!$C:$C,A76,Cases!$L:$L,"Failed")</f>
        <v/>
      </c>
      <c r="H76" s="15">
        <f>COUNTIFS(Cases!$C:$C,A76,Cases!$L:$L,"Blocked")</f>
        <v/>
      </c>
      <c r="I76" s="15">
        <f>COUNTIFS(Cases!$C:$C,A76,Cases!$L:$L,"Not executed")</f>
        <v/>
      </c>
    </row>
    <row r="77">
      <c r="A77" s="15" t="inlineStr">
        <is>
          <t>TC-076</t>
        </is>
      </c>
      <c r="B77" s="15" t="inlineStr">
        <is>
          <t>TS-23</t>
        </is>
      </c>
      <c r="C77" s="16" t="inlineStr">
        <is>
          <t>QUO – Quotation and submission</t>
        </is>
      </c>
      <c r="D77" s="16" t="inlineStr">
        <is>
          <t>Public page shows a minimal summary; invalid, expired, used or non-draft tokens reveal nothing</t>
        </is>
      </c>
      <c r="E77" s="15">
        <f>COUNTIF(Cases!$C:$C,A77)</f>
        <v/>
      </c>
      <c r="F77" s="15">
        <f>COUNTIFS(Cases!$C:$C,A77,Cases!$L:$L,"Passed")</f>
        <v/>
      </c>
      <c r="G77" s="15">
        <f>COUNTIFS(Cases!$C:$C,A77,Cases!$L:$L,"Failed")</f>
        <v/>
      </c>
      <c r="H77" s="15">
        <f>COUNTIFS(Cases!$C:$C,A77,Cases!$L:$L,"Blocked")</f>
        <v/>
      </c>
      <c r="I77" s="15">
        <f>COUNTIFS(Cases!$C:$C,A77,Cases!$L:$L,"Not executed")</f>
        <v/>
      </c>
    </row>
    <row r="78">
      <c r="A78" s="15" t="inlineStr">
        <is>
          <t>TC-077</t>
        </is>
      </c>
      <c r="B78" s="15" t="inlineStr">
        <is>
          <t>TS-23</t>
        </is>
      </c>
      <c r="C78" s="16" t="inlineStr">
        <is>
          <t>QUO – Quotation and submission</t>
        </is>
      </c>
      <c r="D78" s="16" t="inlineStr">
        <is>
          <t>Signer must type the name exactly, give consent and a PNG signature; the link works once</t>
        </is>
      </c>
      <c r="E78" s="15">
        <f>COUNTIF(Cases!$C:$C,A78)</f>
        <v/>
      </c>
      <c r="F78" s="15">
        <f>COUNTIFS(Cases!$C:$C,A78,Cases!$L:$L,"Passed")</f>
        <v/>
      </c>
      <c r="G78" s="15">
        <f>COUNTIFS(Cases!$C:$C,A78,Cases!$L:$L,"Failed")</f>
        <v/>
      </c>
      <c r="H78" s="15">
        <f>COUNTIFS(Cases!$C:$C,A78,Cases!$L:$L,"Blocked")</f>
        <v/>
      </c>
      <c r="I78" s="15">
        <f>COUNTIFS(Cases!$C:$C,A78,Cases!$L:$L,"Not executed")</f>
        <v/>
      </c>
    </row>
    <row r="79">
      <c r="A79" s="15" t="inlineStr">
        <is>
          <t>TC-078</t>
        </is>
      </c>
      <c r="B79" s="15" t="inlineStr">
        <is>
          <t>TS-24</t>
        </is>
      </c>
      <c r="C79" s="16" t="inlineStr">
        <is>
          <t>QUO – Quotation and submission</t>
        </is>
      </c>
      <c r="D79" s="16" t="inlineStr">
        <is>
          <t>Pay-before-issuance products move to PENDING_PAYMENT without referral reasons</t>
        </is>
      </c>
      <c r="E79" s="15">
        <f>COUNTIF(Cases!$C:$C,A79)</f>
        <v/>
      </c>
      <c r="F79" s="15">
        <f>COUNTIFS(Cases!$C:$C,A79,Cases!$L:$L,"Passed")</f>
        <v/>
      </c>
      <c r="G79" s="15">
        <f>COUNTIFS(Cases!$C:$C,A79,Cases!$L:$L,"Failed")</f>
        <v/>
      </c>
      <c r="H79" s="15">
        <f>COUNTIFS(Cases!$C:$C,A79,Cases!$L:$L,"Blocked")</f>
        <v/>
      </c>
      <c r="I79" s="15">
        <f>COUNTIFS(Cases!$C:$C,A79,Cases!$L:$L,"Not executed")</f>
        <v/>
      </c>
    </row>
    <row r="80">
      <c r="A80" s="15" t="inlineStr">
        <is>
          <t>TC-079</t>
        </is>
      </c>
      <c r="B80" s="15" t="inlineStr">
        <is>
          <t>TS-24</t>
        </is>
      </c>
      <c r="C80" s="16" t="inlineStr">
        <is>
          <t>QUO – Quotation and submission</t>
        </is>
      </c>
      <c r="D80" s="16" t="inlineStr">
        <is>
          <t>Referral reasons (declaration yes, high-risk limit, authority limit, quality check) move the application to PENDING_APPROVAL with a POLICY_REFERRAL request</t>
        </is>
      </c>
      <c r="E80" s="15">
        <f>COUNTIF(Cases!$C:$C,A80)</f>
        <v/>
      </c>
      <c r="F80" s="15">
        <f>COUNTIFS(Cases!$C:$C,A80,Cases!$L:$L,"Passed")</f>
        <v/>
      </c>
      <c r="G80" s="15">
        <f>COUNTIFS(Cases!$C:$C,A80,Cases!$L:$L,"Failed")</f>
        <v/>
      </c>
      <c r="H80" s="15">
        <f>COUNTIFS(Cases!$C:$C,A80,Cases!$L:$L,"Blocked")</f>
        <v/>
      </c>
      <c r="I80" s="15">
        <f>COUNTIFS(Cases!$C:$C,A80,Cases!$L:$L,"Not executed")</f>
        <v/>
      </c>
    </row>
    <row r="81">
      <c r="A81" s="15" t="inlineStr">
        <is>
          <t>TC-080</t>
        </is>
      </c>
      <c r="B81" s="15" t="inlineStr">
        <is>
          <t>TS-24</t>
        </is>
      </c>
      <c r="C81" s="16" t="inlineStr">
        <is>
          <t>QUO – Quotation and submission</t>
        </is>
      </c>
      <c r="D81" s="16" t="inlineStr">
        <is>
          <t>Submission is refused for a blocked agency (AGENCY_BLOCKED) and for inactive agents</t>
        </is>
      </c>
      <c r="E81" s="15">
        <f>COUNTIF(Cases!$C:$C,A81)</f>
        <v/>
      </c>
      <c r="F81" s="15">
        <f>COUNTIFS(Cases!$C:$C,A81,Cases!$L:$L,"Passed")</f>
        <v/>
      </c>
      <c r="G81" s="15">
        <f>COUNTIFS(Cases!$C:$C,A81,Cases!$L:$L,"Failed")</f>
        <v/>
      </c>
      <c r="H81" s="15">
        <f>COUNTIFS(Cases!$C:$C,A81,Cases!$L:$L,"Blocked")</f>
        <v/>
      </c>
      <c r="I81" s="15">
        <f>COUNTIFS(Cases!$C:$C,A81,Cases!$L:$L,"Not executed")</f>
        <v/>
      </c>
    </row>
    <row r="82">
      <c r="A82" s="15" t="inlineStr">
        <is>
          <t>TC-081</t>
        </is>
      </c>
      <c r="B82" s="15" t="inlineStr">
        <is>
          <t>TS-24</t>
        </is>
      </c>
      <c r="C82" s="16" t="inlineStr">
        <is>
          <t>QUO – Quotation and submission</t>
        </is>
      </c>
      <c r="D82" s="16" t="inlineStr">
        <is>
          <t>Rates are re-applied at submission</t>
        </is>
      </c>
      <c r="E82" s="15">
        <f>COUNTIF(Cases!$C:$C,A82)</f>
        <v/>
      </c>
      <c r="F82" s="15">
        <f>COUNTIFS(Cases!$C:$C,A82,Cases!$L:$L,"Passed")</f>
        <v/>
      </c>
      <c r="G82" s="15">
        <f>COUNTIFS(Cases!$C:$C,A82,Cases!$L:$L,"Failed")</f>
        <v/>
      </c>
      <c r="H82" s="15">
        <f>COUNTIFS(Cases!$C:$C,A82,Cases!$L:$L,"Blocked")</f>
        <v/>
      </c>
      <c r="I82" s="15">
        <f>COUNTIFS(Cases!$C:$C,A82,Cases!$L:$L,"Not executed")</f>
        <v/>
      </c>
    </row>
    <row r="83">
      <c r="A83" s="15" t="inlineStr">
        <is>
          <t>TC-082</t>
        </is>
      </c>
      <c r="B83" s="15" t="inlineStr">
        <is>
          <t>TS-25</t>
        </is>
      </c>
      <c r="C83" s="16" t="inlineStr">
        <is>
          <t>WFL – Approval workflow (maker-checker)</t>
        </is>
      </c>
      <c r="D83" s="16" t="inlineStr">
        <is>
          <t>Inbox lists requests whose current level matches the user's permissions</t>
        </is>
      </c>
      <c r="E83" s="15">
        <f>COUNTIF(Cases!$C:$C,A83)</f>
        <v/>
      </c>
      <c r="F83" s="15">
        <f>COUNTIFS(Cases!$C:$C,A83,Cases!$L:$L,"Passed")</f>
        <v/>
      </c>
      <c r="G83" s="15">
        <f>COUNTIFS(Cases!$C:$C,A83,Cases!$L:$L,"Failed")</f>
        <v/>
      </c>
      <c r="H83" s="15">
        <f>COUNTIFS(Cases!$C:$C,A83,Cases!$L:$L,"Blocked")</f>
        <v/>
      </c>
      <c r="I83" s="15">
        <f>COUNTIFS(Cases!$C:$C,A83,Cases!$L:$L,"Not executed")</f>
        <v/>
      </c>
    </row>
    <row r="84">
      <c r="A84" s="15" t="inlineStr">
        <is>
          <t>TC-083</t>
        </is>
      </c>
      <c r="B84" s="15" t="inlineStr">
        <is>
          <t>TS-25</t>
        </is>
      </c>
      <c r="C84" s="16" t="inlineStr">
        <is>
          <t>WFL – Approval workflow (maker-checker)</t>
        </is>
      </c>
      <c r="D84" s="16" t="inlineStr">
        <is>
          <t>The maker cannot approve or reject their own request (SEGREGATION_OF_DUTIES); the same user cannot approve two levels</t>
        </is>
      </c>
      <c r="E84" s="15">
        <f>COUNTIF(Cases!$C:$C,A84)</f>
        <v/>
      </c>
      <c r="F84" s="15">
        <f>COUNTIFS(Cases!$C:$C,A84,Cases!$L:$L,"Passed")</f>
        <v/>
      </c>
      <c r="G84" s="15">
        <f>COUNTIFS(Cases!$C:$C,A84,Cases!$L:$L,"Failed")</f>
        <v/>
      </c>
      <c r="H84" s="15">
        <f>COUNTIFS(Cases!$C:$C,A84,Cases!$L:$L,"Blocked")</f>
        <v/>
      </c>
      <c r="I84" s="15">
        <f>COUNTIFS(Cases!$C:$C,A84,Cases!$L:$L,"Not executed")</f>
        <v/>
      </c>
    </row>
    <row r="85">
      <c r="A85" s="15" t="inlineStr">
        <is>
          <t>TC-084</t>
        </is>
      </c>
      <c r="B85" s="15" t="inlineStr">
        <is>
          <t>TS-25</t>
        </is>
      </c>
      <c r="C85" s="16" t="inlineStr">
        <is>
          <t>WFL – Approval workflow (maker-checker)</t>
        </is>
      </c>
      <c r="D85" s="16" t="inlineStr">
        <is>
          <t>Rejection requires remarks; a decided request cannot be decided again</t>
        </is>
      </c>
      <c r="E85" s="15">
        <f>COUNTIF(Cases!$C:$C,A85)</f>
        <v/>
      </c>
      <c r="F85" s="15">
        <f>COUNTIFS(Cases!$C:$C,A85,Cases!$L:$L,"Passed")</f>
        <v/>
      </c>
      <c r="G85" s="15">
        <f>COUNTIFS(Cases!$C:$C,A85,Cases!$L:$L,"Failed")</f>
        <v/>
      </c>
      <c r="H85" s="15">
        <f>COUNTIFS(Cases!$C:$C,A85,Cases!$L:$L,"Blocked")</f>
        <v/>
      </c>
      <c r="I85" s="15">
        <f>COUNTIFS(Cases!$C:$C,A85,Cases!$L:$L,"Not executed")</f>
        <v/>
      </c>
    </row>
    <row r="86">
      <c r="A86" s="15" t="inlineStr">
        <is>
          <t>TC-085</t>
        </is>
      </c>
      <c r="B86" s="15" t="inlineStr">
        <is>
          <t>TS-25</t>
        </is>
      </c>
      <c r="C86" s="16" t="inlineStr">
        <is>
          <t>WFL – Approval workflow (maker-checker)</t>
        </is>
      </c>
      <c r="D86" s="16" t="inlineStr">
        <is>
          <t>Amount thresholds add approval levels (second level from B$300,000)</t>
        </is>
      </c>
      <c r="E86" s="15">
        <f>COUNTIF(Cases!$C:$C,A86)</f>
        <v/>
      </c>
      <c r="F86" s="15">
        <f>COUNTIFS(Cases!$C:$C,A86,Cases!$L:$L,"Passed")</f>
        <v/>
      </c>
      <c r="G86" s="15">
        <f>COUNTIFS(Cases!$C:$C,A86,Cases!$L:$L,"Failed")</f>
        <v/>
      </c>
      <c r="H86" s="15">
        <f>COUNTIFS(Cases!$C:$C,A86,Cases!$L:$L,"Blocked")</f>
        <v/>
      </c>
      <c r="I86" s="15">
        <f>COUNTIFS(Cases!$C:$C,A86,Cases!$L:$L,"Not executed")</f>
        <v/>
      </c>
    </row>
    <row r="87">
      <c r="A87" s="15" t="inlineStr">
        <is>
          <t>TC-086</t>
        </is>
      </c>
      <c r="B87" s="15" t="inlineStr">
        <is>
          <t>TS-25</t>
        </is>
      </c>
      <c r="C87" s="16" t="inlineStr">
        <is>
          <t>WFL – Approval workflow (maker-checker)</t>
        </is>
      </c>
      <c r="D87" s="16" t="inlineStr">
        <is>
          <t>Request views never contain encrypted values</t>
        </is>
      </c>
      <c r="E87" s="15">
        <f>COUNTIF(Cases!$C:$C,A87)</f>
        <v/>
      </c>
      <c r="F87" s="15">
        <f>COUNTIFS(Cases!$C:$C,A87,Cases!$L:$L,"Passed")</f>
        <v/>
      </c>
      <c r="G87" s="15">
        <f>COUNTIFS(Cases!$C:$C,A87,Cases!$L:$L,"Failed")</f>
        <v/>
      </c>
      <c r="H87" s="15">
        <f>COUNTIFS(Cases!$C:$C,A87,Cases!$L:$L,"Blocked")</f>
        <v/>
      </c>
      <c r="I87" s="15">
        <f>COUNTIFS(Cases!$C:$C,A87,Cases!$L:$L,"Not executed")</f>
        <v/>
      </c>
    </row>
    <row r="88">
      <c r="A88" s="15" t="inlineStr">
        <is>
          <t>TC-087</t>
        </is>
      </c>
      <c r="B88" s="15" t="inlineStr">
        <is>
          <t>TS-25</t>
        </is>
      </c>
      <c r="C88" s="16" t="inlineStr">
        <is>
          <t>WFL – Approval workflow (maker-checker)</t>
        </is>
      </c>
      <c r="D88" s="16" t="inlineStr">
        <is>
          <t>Approval history with actor, action, level, time and remarks is retained</t>
        </is>
      </c>
      <c r="E88" s="15">
        <f>COUNTIF(Cases!$C:$C,A88)</f>
        <v/>
      </c>
      <c r="F88" s="15">
        <f>COUNTIFS(Cases!$C:$C,A88,Cases!$L:$L,"Passed")</f>
        <v/>
      </c>
      <c r="G88" s="15">
        <f>COUNTIFS(Cases!$C:$C,A88,Cases!$L:$L,"Failed")</f>
        <v/>
      </c>
      <c r="H88" s="15">
        <f>COUNTIFS(Cases!$C:$C,A88,Cases!$L:$L,"Blocked")</f>
        <v/>
      </c>
      <c r="I88" s="15">
        <f>COUNTIFS(Cases!$C:$C,A88,Cases!$L:$L,"Not executed")</f>
        <v/>
      </c>
    </row>
    <row r="89">
      <c r="A89" s="15" t="inlineStr">
        <is>
          <t>TC-088</t>
        </is>
      </c>
      <c r="B89" s="15" t="inlineStr">
        <is>
          <t>TS-26</t>
        </is>
      </c>
      <c r="C89" s="16" t="inlineStr">
        <is>
          <t>WFL – Approval workflow (maker-checker)</t>
        </is>
      </c>
      <c r="D89" s="16" t="inlineStr">
        <is>
          <t>Rejected and withdrawn requests show the remarks to the maker</t>
        </is>
      </c>
      <c r="E89" s="15">
        <f>COUNTIF(Cases!$C:$C,A89)</f>
        <v/>
      </c>
      <c r="F89" s="15">
        <f>COUNTIFS(Cases!$C:$C,A89,Cases!$L:$L,"Passed")</f>
        <v/>
      </c>
      <c r="G89" s="15">
        <f>COUNTIFS(Cases!$C:$C,A89,Cases!$L:$L,"Failed")</f>
        <v/>
      </c>
      <c r="H89" s="15">
        <f>COUNTIFS(Cases!$C:$C,A89,Cases!$L:$L,"Blocked")</f>
        <v/>
      </c>
      <c r="I89" s="15">
        <f>COUNTIFS(Cases!$C:$C,A89,Cases!$L:$L,"Not executed")</f>
        <v/>
      </c>
    </row>
    <row r="90">
      <c r="A90" s="15" t="inlineStr">
        <is>
          <t>TC-089</t>
        </is>
      </c>
      <c r="B90" s="15" t="inlineStr">
        <is>
          <t>TS-27</t>
        </is>
      </c>
      <c r="C90" s="16" t="inlineStr">
        <is>
          <t>POL – Policy issuance and policy documents</t>
        </is>
      </c>
      <c r="D90" s="16" t="inlineStr">
        <is>
          <t>Policy list and search by number, participant, status, product and dates</t>
        </is>
      </c>
      <c r="E90" s="15">
        <f>COUNTIF(Cases!$C:$C,A90)</f>
        <v/>
      </c>
      <c r="F90" s="15">
        <f>COUNTIFS(Cases!$C:$C,A90,Cases!$L:$L,"Passed")</f>
        <v/>
      </c>
      <c r="G90" s="15">
        <f>COUNTIFS(Cases!$C:$C,A90,Cases!$L:$L,"Failed")</f>
        <v/>
      </c>
      <c r="H90" s="15">
        <f>COUNTIFS(Cases!$C:$C,A90,Cases!$L:$L,"Blocked")</f>
        <v/>
      </c>
      <c r="I90" s="15">
        <f>COUNTIFS(Cases!$C:$C,A90,Cases!$L:$L,"Not executed")</f>
        <v/>
      </c>
    </row>
    <row r="91">
      <c r="A91" s="15" t="inlineStr">
        <is>
          <t>TC-090</t>
        </is>
      </c>
      <c r="B91" s="15" t="inlineStr">
        <is>
          <t>TS-27</t>
        </is>
      </c>
      <c r="C91" s="16" t="inlineStr">
        <is>
          <t>POL – Policy issuance and policy documents</t>
        </is>
      </c>
      <c r="D91" s="16" t="inlineStr">
        <is>
          <t>Policy detail shows cover, contribution breakdown, participant, nominees, documents, payments and history</t>
        </is>
      </c>
      <c r="E91" s="15">
        <f>COUNTIF(Cases!$C:$C,A91)</f>
        <v/>
      </c>
      <c r="F91" s="15">
        <f>COUNTIFS(Cases!$C:$C,A91,Cases!$L:$L,"Passed")</f>
        <v/>
      </c>
      <c r="G91" s="15">
        <f>COUNTIFS(Cases!$C:$C,A91,Cases!$L:$L,"Failed")</f>
        <v/>
      </c>
      <c r="H91" s="15">
        <f>COUNTIFS(Cases!$C:$C,A91,Cases!$L:$L,"Blocked")</f>
        <v/>
      </c>
      <c r="I91" s="15">
        <f>COUNTIFS(Cases!$C:$C,A91,Cases!$L:$L,"Not executed")</f>
        <v/>
      </c>
    </row>
    <row r="92">
      <c r="A92" s="15" t="inlineStr">
        <is>
          <t>TC-091</t>
        </is>
      </c>
      <c r="B92" s="15" t="inlineStr">
        <is>
          <t>TS-27</t>
        </is>
      </c>
      <c r="C92" s="16" t="inlineStr">
        <is>
          <t>POL – Policy issuance and policy documents</t>
        </is>
      </c>
      <c r="D92" s="16" t="inlineStr">
        <is>
          <t>Back-office policy views across all agencies</t>
        </is>
      </c>
      <c r="E92" s="15">
        <f>COUNTIF(Cases!$C:$C,A92)</f>
        <v/>
      </c>
      <c r="F92" s="15">
        <f>COUNTIFS(Cases!$C:$C,A92,Cases!$L:$L,"Passed")</f>
        <v/>
      </c>
      <c r="G92" s="15">
        <f>COUNTIFS(Cases!$C:$C,A92,Cases!$L:$L,"Failed")</f>
        <v/>
      </c>
      <c r="H92" s="15">
        <f>COUNTIFS(Cases!$C:$C,A92,Cases!$L:$L,"Blocked")</f>
        <v/>
      </c>
      <c r="I92" s="15">
        <f>COUNTIFS(Cases!$C:$C,A92,Cases!$L:$L,"Not executed")</f>
        <v/>
      </c>
    </row>
    <row r="93">
      <c r="A93" s="15" t="inlineStr">
        <is>
          <t>TC-092</t>
        </is>
      </c>
      <c r="B93" s="15" t="inlineStr">
        <is>
          <t>TS-28</t>
        </is>
      </c>
      <c r="C93" s="16" t="inlineStr">
        <is>
          <t>POL – Policy issuance and policy documents</t>
        </is>
      </c>
      <c r="D93" s="16" t="inlineStr">
        <is>
          <t>Policy number &lt;product&gt;/yy/nnnnnn assigned; status ACTIVE; paymentStatus PAID after verification</t>
        </is>
      </c>
      <c r="E93" s="15">
        <f>COUNTIF(Cases!$C:$C,A93)</f>
        <v/>
      </c>
      <c r="F93" s="15">
        <f>COUNTIFS(Cases!$C:$C,A93,Cases!$L:$L,"Passed")</f>
        <v/>
      </c>
      <c r="G93" s="15">
        <f>COUNTIFS(Cases!$C:$C,A93,Cases!$L:$L,"Failed")</f>
        <v/>
      </c>
      <c r="H93" s="15">
        <f>COUNTIFS(Cases!$C:$C,A93,Cases!$L:$L,"Blocked")</f>
        <v/>
      </c>
      <c r="I93" s="15">
        <f>COUNTIFS(Cases!$C:$C,A93,Cases!$L:$L,"Not executed")</f>
        <v/>
      </c>
    </row>
    <row r="94">
      <c r="A94" s="15" t="inlineStr">
        <is>
          <t>TC-093</t>
        </is>
      </c>
      <c r="B94" s="15" t="inlineStr">
        <is>
          <t>TS-28</t>
        </is>
      </c>
      <c r="C94" s="16" t="inlineStr">
        <is>
          <t>POL – Policy issuance and policy documents</t>
        </is>
      </c>
      <c r="D94" s="16" t="inlineStr">
        <is>
          <t>e-Policy schedule and e-Receipt generated as PDF documents</t>
        </is>
      </c>
      <c r="E94" s="15">
        <f>COUNTIF(Cases!$C:$C,A94)</f>
        <v/>
      </c>
      <c r="F94" s="15">
        <f>COUNTIFS(Cases!$C:$C,A94,Cases!$L:$L,"Passed")</f>
        <v/>
      </c>
      <c r="G94" s="15">
        <f>COUNTIFS(Cases!$C:$C,A94,Cases!$L:$L,"Failed")</f>
        <v/>
      </c>
      <c r="H94" s="15">
        <f>COUNTIFS(Cases!$C:$C,A94,Cases!$L:$L,"Blocked")</f>
        <v/>
      </c>
      <c r="I94" s="15">
        <f>COUNTIFS(Cases!$C:$C,A94,Cases!$L:$L,"Not executed")</f>
        <v/>
      </c>
    </row>
    <row r="95">
      <c r="A95" s="15" t="inlineStr">
        <is>
          <t>TC-094</t>
        </is>
      </c>
      <c r="B95" s="15" t="inlineStr">
        <is>
          <t>TS-28</t>
        </is>
      </c>
      <c r="C95" s="16" t="inlineStr">
        <is>
          <t>POL – Policy issuance and policy documents</t>
        </is>
      </c>
      <c r="D95" s="16" t="inlineStr">
        <is>
          <t>POLICY_ISSUED and RECEIPT_POSTED messages queued for Core and FIN</t>
        </is>
      </c>
      <c r="E95" s="15">
        <f>COUNTIF(Cases!$C:$C,A95)</f>
        <v/>
      </c>
      <c r="F95" s="15">
        <f>COUNTIFS(Cases!$C:$C,A95,Cases!$L:$L,"Passed")</f>
        <v/>
      </c>
      <c r="G95" s="15">
        <f>COUNTIFS(Cases!$C:$C,A95,Cases!$L:$L,"Failed")</f>
        <v/>
      </c>
      <c r="H95" s="15">
        <f>COUNTIFS(Cases!$C:$C,A95,Cases!$L:$L,"Blocked")</f>
        <v/>
      </c>
      <c r="I95" s="15">
        <f>COUNTIFS(Cases!$C:$C,A95,Cases!$L:$L,"Not executed")</f>
        <v/>
      </c>
    </row>
    <row r="96">
      <c r="A96" s="15" t="inlineStr">
        <is>
          <t>TC-095</t>
        </is>
      </c>
      <c r="B96" s="15" t="inlineStr">
        <is>
          <t>TS-28</t>
        </is>
      </c>
      <c r="C96" s="16" t="inlineStr">
        <is>
          <t>POL – Policy issuance and policy documents</t>
        </is>
      </c>
      <c r="D96" s="16" t="inlineStr">
        <is>
          <t>Documents can be e-mailed to the participant</t>
        </is>
      </c>
      <c r="E96" s="15">
        <f>COUNTIF(Cases!$C:$C,A96)</f>
        <v/>
      </c>
      <c r="F96" s="15">
        <f>COUNTIFS(Cases!$C:$C,A96,Cases!$L:$L,"Passed")</f>
        <v/>
      </c>
      <c r="G96" s="15">
        <f>COUNTIFS(Cases!$C:$C,A96,Cases!$L:$L,"Failed")</f>
        <v/>
      </c>
      <c r="H96" s="15">
        <f>COUNTIFS(Cases!$C:$C,A96,Cases!$L:$L,"Blocked")</f>
        <v/>
      </c>
      <c r="I96" s="15">
        <f>COUNTIFS(Cases!$C:$C,A96,Cases!$L:$L,"Not executed")</f>
        <v/>
      </c>
    </row>
    <row r="97">
      <c r="A97" s="15" t="inlineStr">
        <is>
          <t>TC-096</t>
        </is>
      </c>
      <c r="B97" s="15" t="inlineStr">
        <is>
          <t>TS-29</t>
        </is>
      </c>
      <c r="C97" s="16" t="inlineStr">
        <is>
          <t>POL – Policy issuance and policy documents</t>
        </is>
      </c>
      <c r="D97" s="16" t="inlineStr">
        <is>
          <t>Expiry job sets EXPIRED after the end date and notifies; renewal notices within the notice period</t>
        </is>
      </c>
      <c r="E97" s="15">
        <f>COUNTIF(Cases!$C:$C,A97)</f>
        <v/>
      </c>
      <c r="F97" s="15">
        <f>COUNTIFS(Cases!$C:$C,A97,Cases!$L:$L,"Passed")</f>
        <v/>
      </c>
      <c r="G97" s="15">
        <f>COUNTIFS(Cases!$C:$C,A97,Cases!$L:$L,"Failed")</f>
        <v/>
      </c>
      <c r="H97" s="15">
        <f>COUNTIFS(Cases!$C:$C,A97,Cases!$L:$L,"Blocked")</f>
        <v/>
      </c>
      <c r="I97" s="15">
        <f>COUNTIFS(Cases!$C:$C,A97,Cases!$L:$L,"Not executed")</f>
        <v/>
      </c>
    </row>
    <row r="98">
      <c r="A98" s="15" t="inlineStr">
        <is>
          <t>TC-097</t>
        </is>
      </c>
      <c r="B98" s="15" t="inlineStr">
        <is>
          <t>TS-30</t>
        </is>
      </c>
      <c r="C98" s="16" t="inlineStr">
        <is>
          <t>BIL – Billing and payments</t>
        </is>
      </c>
      <c r="D98" s="16" t="inlineStr">
        <is>
          <t>Outstanding, overdue, due-within-3-days and pending-verification figures and lists</t>
        </is>
      </c>
      <c r="E98" s="15">
        <f>COUNTIF(Cases!$C:$C,A98)</f>
        <v/>
      </c>
      <c r="F98" s="15">
        <f>COUNTIFS(Cases!$C:$C,A98,Cases!$L:$L,"Passed")</f>
        <v/>
      </c>
      <c r="G98" s="15">
        <f>COUNTIFS(Cases!$C:$C,A98,Cases!$L:$L,"Failed")</f>
        <v/>
      </c>
      <c r="H98" s="15">
        <f>COUNTIFS(Cases!$C:$C,A98,Cases!$L:$L,"Blocked")</f>
        <v/>
      </c>
      <c r="I98" s="15">
        <f>COUNTIFS(Cases!$C:$C,A98,Cases!$L:$L,"Not executed")</f>
        <v/>
      </c>
    </row>
    <row r="99">
      <c r="A99" s="15" t="inlineStr">
        <is>
          <t>TC-098</t>
        </is>
      </c>
      <c r="B99" s="15" t="inlineStr">
        <is>
          <t>TS-31</t>
        </is>
      </c>
      <c r="C99" s="16" t="inlineStr">
        <is>
          <t>BIL – Billing and payments</t>
        </is>
      </c>
      <c r="D99" s="16" t="inlineStr">
        <is>
          <t>Payment needs a proof file, a non-future date, unique policies and amounts equal to the outstanding contribution</t>
        </is>
      </c>
      <c r="E99" s="15">
        <f>COUNTIF(Cases!$C:$C,A99)</f>
        <v/>
      </c>
      <c r="F99" s="15">
        <f>COUNTIFS(Cases!$C:$C,A99,Cases!$L:$L,"Passed")</f>
        <v/>
      </c>
      <c r="G99" s="15">
        <f>COUNTIFS(Cases!$C:$C,A99,Cases!$L:$L,"Failed")</f>
        <v/>
      </c>
      <c r="H99" s="15">
        <f>COUNTIFS(Cases!$C:$C,A99,Cases!$L:$L,"Blocked")</f>
        <v/>
      </c>
      <c r="I99" s="15">
        <f>COUNTIFS(Cases!$C:$C,A99,Cases!$L:$L,"Not executed")</f>
        <v/>
      </c>
    </row>
    <row r="100">
      <c r="A100" s="15" t="inlineStr">
        <is>
          <t>TC-099</t>
        </is>
      </c>
      <c r="B100" s="15" t="inlineStr">
        <is>
          <t>TS-31</t>
        </is>
      </c>
      <c r="C100" s="16" t="inlineStr">
        <is>
          <t>BIL – Billing and payments</t>
        </is>
      </c>
      <c r="D100" s="16" t="inlineStr">
        <is>
          <t>One payment can cover several policies (allocations); each policy appears once</t>
        </is>
      </c>
      <c r="E100" s="15">
        <f>COUNTIF(Cases!$C:$C,A100)</f>
        <v/>
      </c>
      <c r="F100" s="15">
        <f>COUNTIFS(Cases!$C:$C,A100,Cases!$L:$L,"Passed")</f>
        <v/>
      </c>
      <c r="G100" s="15">
        <f>COUNTIFS(Cases!$C:$C,A100,Cases!$L:$L,"Failed")</f>
        <v/>
      </c>
      <c r="H100" s="15">
        <f>COUNTIFS(Cases!$C:$C,A100,Cases!$L:$L,"Blocked")</f>
        <v/>
      </c>
      <c r="I100" s="15">
        <f>COUNTIFS(Cases!$C:$C,A100,Cases!$L:$L,"Not executed")</f>
        <v/>
      </c>
    </row>
    <row r="101">
      <c r="A101" s="15" t="inlineStr">
        <is>
          <t>TC-100</t>
        </is>
      </c>
      <c r="B101" s="15" t="inlineStr">
        <is>
          <t>TS-31</t>
        </is>
      </c>
      <c r="C101" s="16" t="inlineStr">
        <is>
          <t>BIL – Billing and payments</t>
        </is>
      </c>
      <c r="D101" s="16" t="inlineStr">
        <is>
          <t>Finance (bo.approve.payments) verifies or rejects; other staff cannot; rejection needs remarks</t>
        </is>
      </c>
      <c r="E101" s="15">
        <f>COUNTIF(Cases!$C:$C,A101)</f>
        <v/>
      </c>
      <c r="F101" s="15">
        <f>COUNTIFS(Cases!$C:$C,A101,Cases!$L:$L,"Passed")</f>
        <v/>
      </c>
      <c r="G101" s="15">
        <f>COUNTIFS(Cases!$C:$C,A101,Cases!$L:$L,"Failed")</f>
        <v/>
      </c>
      <c r="H101" s="15">
        <f>COUNTIFS(Cases!$C:$C,A101,Cases!$L:$L,"Blocked")</f>
        <v/>
      </c>
      <c r="I101" s="15">
        <f>COUNTIFS(Cases!$C:$C,A101,Cases!$L:$L,"Not executed")</f>
        <v/>
      </c>
    </row>
    <row r="102">
      <c r="A102" s="15" t="inlineStr">
        <is>
          <t>TC-101</t>
        </is>
      </c>
      <c r="B102" s="15" t="inlineStr">
        <is>
          <t>TS-31</t>
        </is>
      </c>
      <c r="C102" s="16" t="inlineStr">
        <is>
          <t>BIL – Billing and payments</t>
        </is>
      </c>
      <c r="D102" s="16" t="inlineStr">
        <is>
          <t>Verification issues pay-first policies and settles issue-then-pay policies; receipt per policy</t>
        </is>
      </c>
      <c r="E102" s="15">
        <f>COUNTIF(Cases!$C:$C,A102)</f>
        <v/>
      </c>
      <c r="F102" s="15">
        <f>COUNTIFS(Cases!$C:$C,A102,Cases!$L:$L,"Passed")</f>
        <v/>
      </c>
      <c r="G102" s="15">
        <f>COUNTIFS(Cases!$C:$C,A102,Cases!$L:$L,"Failed")</f>
        <v/>
      </c>
      <c r="H102" s="15">
        <f>COUNTIFS(Cases!$C:$C,A102,Cases!$L:$L,"Blocked")</f>
        <v/>
      </c>
      <c r="I102" s="15">
        <f>COUNTIFS(Cases!$C:$C,A102,Cases!$L:$L,"Not executed")</f>
        <v/>
      </c>
    </row>
    <row r="103">
      <c r="A103" s="15" t="inlineStr">
        <is>
          <t>TC-102</t>
        </is>
      </c>
      <c r="B103" s="15" t="inlineStr">
        <is>
          <t>TS-31</t>
        </is>
      </c>
      <c r="C103" s="16" t="inlineStr">
        <is>
          <t>BIL – Billing and payments</t>
        </is>
      </c>
      <c r="D103" s="16" t="inlineStr">
        <is>
          <t>Negative, future-dated and excessive amounts are refused</t>
        </is>
      </c>
      <c r="E103" s="15">
        <f>COUNTIF(Cases!$C:$C,A103)</f>
        <v/>
      </c>
      <c r="F103" s="15">
        <f>COUNTIFS(Cases!$C:$C,A103,Cases!$L:$L,"Passed")</f>
        <v/>
      </c>
      <c r="G103" s="15">
        <f>COUNTIFS(Cases!$C:$C,A103,Cases!$L:$L,"Failed")</f>
        <v/>
      </c>
      <c r="H103" s="15">
        <f>COUNTIFS(Cases!$C:$C,A103,Cases!$L:$L,"Blocked")</f>
        <v/>
      </c>
      <c r="I103" s="15">
        <f>COUNTIFS(Cases!$C:$C,A103,Cases!$L:$L,"Not executed")</f>
        <v/>
      </c>
    </row>
    <row r="104">
      <c r="A104" s="15" t="inlineStr">
        <is>
          <t>TC-103</t>
        </is>
      </c>
      <c r="B104" s="15" t="inlineStr">
        <is>
          <t>TS-32</t>
        </is>
      </c>
      <c r="C104" s="16" t="inlineStr">
        <is>
          <t>BIL – Billing and payments</t>
        </is>
      </c>
      <c r="D104" s="16" t="inlineStr">
        <is>
          <t>Issue-then-pay policies get paymentDueDate = issue date + grace days (7)</t>
        </is>
      </c>
      <c r="E104" s="15">
        <f>COUNTIF(Cases!$C:$C,A104)</f>
        <v/>
      </c>
      <c r="F104" s="15">
        <f>COUNTIFS(Cases!$C:$C,A104,Cases!$L:$L,"Passed")</f>
        <v/>
      </c>
      <c r="G104" s="15">
        <f>COUNTIFS(Cases!$C:$C,A104,Cases!$L:$L,"Failed")</f>
        <v/>
      </c>
      <c r="H104" s="15">
        <f>COUNTIFS(Cases!$C:$C,A104,Cases!$L:$L,"Blocked")</f>
        <v/>
      </c>
      <c r="I104" s="15">
        <f>COUNTIFS(Cases!$C:$C,A104,Cases!$L:$L,"Not executed")</f>
        <v/>
      </c>
    </row>
    <row r="105">
      <c r="A105" s="15" t="inlineStr">
        <is>
          <t>TC-104</t>
        </is>
      </c>
      <c r="B105" s="15" t="inlineStr">
        <is>
          <t>TS-32</t>
        </is>
      </c>
      <c r="C105" s="16" t="inlineStr">
        <is>
          <t>BIL – Billing and payments</t>
        </is>
      </c>
      <c r="D105" s="16" t="inlineStr">
        <is>
          <t>Daily job blocks an agency/bank with any policy unpaid past the due date and notifies its users</t>
        </is>
      </c>
      <c r="E105" s="15">
        <f>COUNTIF(Cases!$C:$C,A105)</f>
        <v/>
      </c>
      <c r="F105" s="15">
        <f>COUNTIFS(Cases!$C:$C,A105,Cases!$L:$L,"Passed")</f>
        <v/>
      </c>
      <c r="G105" s="15">
        <f>COUNTIFS(Cases!$C:$C,A105,Cases!$L:$L,"Failed")</f>
        <v/>
      </c>
      <c r="H105" s="15">
        <f>COUNTIFS(Cases!$C:$C,A105,Cases!$L:$L,"Blocked")</f>
        <v/>
      </c>
      <c r="I105" s="15">
        <f>COUNTIFS(Cases!$C:$C,A105,Cases!$L:$L,"Not executed")</f>
        <v/>
      </c>
    </row>
    <row r="106">
      <c r="A106" s="15" t="inlineStr">
        <is>
          <t>TC-105</t>
        </is>
      </c>
      <c r="B106" s="15" t="inlineStr">
        <is>
          <t>TS-32</t>
        </is>
      </c>
      <c r="C106" s="16" t="inlineStr">
        <is>
          <t>BIL – Billing and payments</t>
        </is>
      </c>
      <c r="D106" s="16" t="inlineStr">
        <is>
          <t>Blocked agency: every officer's submissions refused; dashboard shows the block</t>
        </is>
      </c>
      <c r="E106" s="15">
        <f>COUNTIF(Cases!$C:$C,A106)</f>
        <v/>
      </c>
      <c r="F106" s="15">
        <f>COUNTIFS(Cases!$C:$C,A106,Cases!$L:$L,"Passed")</f>
        <v/>
      </c>
      <c r="G106" s="15">
        <f>COUNTIFS(Cases!$C:$C,A106,Cases!$L:$L,"Failed")</f>
        <v/>
      </c>
      <c r="H106" s="15">
        <f>COUNTIFS(Cases!$C:$C,A106,Cases!$L:$L,"Blocked")</f>
        <v/>
      </c>
      <c r="I106" s="15">
        <f>COUNTIFS(Cases!$C:$C,A106,Cases!$L:$L,"Not executed")</f>
        <v/>
      </c>
    </row>
    <row r="107">
      <c r="A107" s="15" t="inlineStr">
        <is>
          <t>TC-106</t>
        </is>
      </c>
      <c r="B107" s="15" t="inlineStr">
        <is>
          <t>TS-32</t>
        </is>
      </c>
      <c r="C107" s="16" t="inlineStr">
        <is>
          <t>BIL – Billing and payments</t>
        </is>
      </c>
      <c r="D107" s="16" t="inlineStr">
        <is>
          <t>Block lifted automatically when nothing is overdue, or manually by the back-office</t>
        </is>
      </c>
      <c r="E107" s="15">
        <f>COUNTIF(Cases!$C:$C,A107)</f>
        <v/>
      </c>
      <c r="F107" s="15">
        <f>COUNTIFS(Cases!$C:$C,A107,Cases!$L:$L,"Passed")</f>
        <v/>
      </c>
      <c r="G107" s="15">
        <f>COUNTIFS(Cases!$C:$C,A107,Cases!$L:$L,"Failed")</f>
        <v/>
      </c>
      <c r="H107" s="15">
        <f>COUNTIFS(Cases!$C:$C,A107,Cases!$L:$L,"Blocked")</f>
        <v/>
      </c>
      <c r="I107" s="15">
        <f>COUNTIFS(Cases!$C:$C,A107,Cases!$L:$L,"Not executed")</f>
        <v/>
      </c>
    </row>
    <row r="108">
      <c r="A108" s="15" t="inlineStr">
        <is>
          <t>TC-107</t>
        </is>
      </c>
      <c r="B108" s="15" t="inlineStr">
        <is>
          <t>TS-33</t>
        </is>
      </c>
      <c r="C108" s="16" t="inlineStr">
        <is>
          <t>BIL – Billing and payments</t>
        </is>
      </c>
      <c r="D108" s="16" t="inlineStr">
        <is>
          <t>Commission accrued at the product rate on issuance; statement per month; paid status from FIN</t>
        </is>
      </c>
      <c r="E108" s="15">
        <f>COUNTIF(Cases!$C:$C,A108)</f>
        <v/>
      </c>
      <c r="F108" s="15">
        <f>COUNTIFS(Cases!$C:$C,A108,Cases!$L:$L,"Passed")</f>
        <v/>
      </c>
      <c r="G108" s="15">
        <f>COUNTIFS(Cases!$C:$C,A108,Cases!$L:$L,"Failed")</f>
        <v/>
      </c>
      <c r="H108" s="15">
        <f>COUNTIFS(Cases!$C:$C,A108,Cases!$L:$L,"Blocked")</f>
        <v/>
      </c>
      <c r="I108" s="15">
        <f>COUNTIFS(Cases!$C:$C,A108,Cases!$L:$L,"Not executed")</f>
        <v/>
      </c>
    </row>
    <row r="109">
      <c r="A109" s="15" t="inlineStr">
        <is>
          <t>TC-108</t>
        </is>
      </c>
      <c r="B109" s="15" t="inlineStr">
        <is>
          <t>TS-34</t>
        </is>
      </c>
      <c r="C109" s="16" t="inlineStr">
        <is>
          <t>SVC – Policy servicing: renewal, endorsement, cancellation</t>
        </is>
      </c>
      <c r="D109" s="16" t="inlineStr">
        <is>
          <t>Renewals-due lists active/expired policies ending within the notice period (45 days) and up to the lapse limit</t>
        </is>
      </c>
      <c r="E109" s="15">
        <f>COUNTIF(Cases!$C:$C,A109)</f>
        <v/>
      </c>
      <c r="F109" s="15">
        <f>COUNTIFS(Cases!$C:$C,A109,Cases!$L:$L,"Passed")</f>
        <v/>
      </c>
      <c r="G109" s="15">
        <f>COUNTIFS(Cases!$C:$C,A109,Cases!$L:$L,"Failed")</f>
        <v/>
      </c>
      <c r="H109" s="15">
        <f>COUNTIFS(Cases!$C:$C,A109,Cases!$L:$L,"Blocked")</f>
        <v/>
      </c>
      <c r="I109" s="15">
        <f>COUNTIFS(Cases!$C:$C,A109,Cases!$L:$L,"Not executed")</f>
        <v/>
      </c>
    </row>
    <row r="110">
      <c r="A110" s="15" t="inlineStr">
        <is>
          <t>TC-109</t>
        </is>
      </c>
      <c r="B110" s="15" t="inlineStr">
        <is>
          <t>TS-34</t>
        </is>
      </c>
      <c r="C110" s="16" t="inlineStr">
        <is>
          <t>SVC – Policy servicing: renewal, endorsement, cancellation</t>
        </is>
      </c>
      <c r="D110" s="16" t="inlineStr">
        <is>
          <t>Renewal creates a DRAFT quotation starting the day after expiry with the same cover and nominees; only one renewal per policy</t>
        </is>
      </c>
      <c r="E110" s="15">
        <f>COUNTIF(Cases!$C:$C,A110)</f>
        <v/>
      </c>
      <c r="F110" s="15">
        <f>COUNTIFS(Cases!$C:$C,A110,Cases!$L:$L,"Passed")</f>
        <v/>
      </c>
      <c r="G110" s="15">
        <f>COUNTIFS(Cases!$C:$C,A110,Cases!$L:$L,"Failed")</f>
        <v/>
      </c>
      <c r="H110" s="15">
        <f>COUNTIFS(Cases!$C:$C,A110,Cases!$L:$L,"Blocked")</f>
        <v/>
      </c>
      <c r="I110" s="15">
        <f>COUNTIFS(Cases!$C:$C,A110,Cases!$L:$L,"Not executed")</f>
        <v/>
      </c>
    </row>
    <row r="111">
      <c r="A111" s="15" t="inlineStr">
        <is>
          <t>TC-110</t>
        </is>
      </c>
      <c r="B111" s="15" t="inlineStr">
        <is>
          <t>TS-34</t>
        </is>
      </c>
      <c r="C111" s="16" t="inlineStr">
        <is>
          <t>SVC – Policy servicing: renewal, endorsement, cancellation</t>
        </is>
      </c>
      <c r="D111" s="16" t="inlineStr">
        <is>
          <t>Renewal outside the window or for a non-renewable product is refused</t>
        </is>
      </c>
      <c r="E111" s="15">
        <f>COUNTIF(Cases!$C:$C,A111)</f>
        <v/>
      </c>
      <c r="F111" s="15">
        <f>COUNTIFS(Cases!$C:$C,A111,Cases!$L:$L,"Passed")</f>
        <v/>
      </c>
      <c r="G111" s="15">
        <f>COUNTIFS(Cases!$C:$C,A111,Cases!$L:$L,"Failed")</f>
        <v/>
      </c>
      <c r="H111" s="15">
        <f>COUNTIFS(Cases!$C:$C,A111,Cases!$L:$L,"Blocked")</f>
        <v/>
      </c>
      <c r="I111" s="15">
        <f>COUNTIFS(Cases!$C:$C,A111,Cases!$L:$L,"Not executed")</f>
        <v/>
      </c>
    </row>
    <row r="112">
      <c r="A112" s="15" t="inlineStr">
        <is>
          <t>TC-111</t>
        </is>
      </c>
      <c r="B112" s="15" t="inlineStr">
        <is>
          <t>TS-35</t>
        </is>
      </c>
      <c r="C112" s="16" t="inlineStr">
        <is>
          <t>SVC – Policy servicing: renewal, endorsement, cancellation</t>
        </is>
      </c>
      <c r="D112" s="16" t="inlineStr">
        <is>
          <t>Only active policies can be endorsed; endorsement type must be a valid code; nominee rules apply</t>
        </is>
      </c>
      <c r="E112" s="15">
        <f>COUNTIF(Cases!$C:$C,A112)</f>
        <v/>
      </c>
      <c r="F112" s="15">
        <f>COUNTIFS(Cases!$C:$C,A112,Cases!$L:$L,"Passed")</f>
        <v/>
      </c>
      <c r="G112" s="15">
        <f>COUNTIFS(Cases!$C:$C,A112,Cases!$L:$L,"Failed")</f>
        <v/>
      </c>
      <c r="H112" s="15">
        <f>COUNTIFS(Cases!$C:$C,A112,Cases!$L:$L,"Blocked")</f>
        <v/>
      </c>
      <c r="I112" s="15">
        <f>COUNTIFS(Cases!$C:$C,A112,Cases!$L:$L,"Not executed")</f>
        <v/>
      </c>
    </row>
    <row r="113">
      <c r="A113" s="15" t="inlineStr">
        <is>
          <t>TC-112</t>
        </is>
      </c>
      <c r="B113" s="15" t="inlineStr">
        <is>
          <t>TS-35</t>
        </is>
      </c>
      <c r="C113" s="16" t="inlineStr">
        <is>
          <t>SVC – Policy servicing: renewal, endorsement, cancellation</t>
        </is>
      </c>
      <c r="D113" s="16" t="inlineStr">
        <is>
          <t>Approval applies the change (nominees, details); rejection leaves the policy unchanged</t>
        </is>
      </c>
      <c r="E113" s="15">
        <f>COUNTIF(Cases!$C:$C,A113)</f>
        <v/>
      </c>
      <c r="F113" s="15">
        <f>COUNTIFS(Cases!$C:$C,A113,Cases!$L:$L,"Passed")</f>
        <v/>
      </c>
      <c r="G113" s="15">
        <f>COUNTIFS(Cases!$C:$C,A113,Cases!$L:$L,"Failed")</f>
        <v/>
      </c>
      <c r="H113" s="15">
        <f>COUNTIFS(Cases!$C:$C,A113,Cases!$L:$L,"Blocked")</f>
        <v/>
      </c>
      <c r="I113" s="15">
        <f>COUNTIFS(Cases!$C:$C,A113,Cases!$L:$L,"Not executed")</f>
        <v/>
      </c>
    </row>
    <row r="114">
      <c r="A114" s="15" t="inlineStr">
        <is>
          <t>TC-113</t>
        </is>
      </c>
      <c r="B114" s="15" t="inlineStr">
        <is>
          <t>TS-36</t>
        </is>
      </c>
      <c r="C114" s="16" t="inlineStr">
        <is>
          <t>SVC – Policy servicing: renewal, endorsement, cancellation</t>
        </is>
      </c>
      <c r="D114" s="16" t="inlineStr">
        <is>
          <t>Only active policies; reason code valid; effective date not before cover start</t>
        </is>
      </c>
      <c r="E114" s="15">
        <f>COUNTIF(Cases!$C:$C,A114)</f>
        <v/>
      </c>
      <c r="F114" s="15">
        <f>COUNTIFS(Cases!$C:$C,A114,Cases!$L:$L,"Passed")</f>
        <v/>
      </c>
      <c r="G114" s="15">
        <f>COUNTIFS(Cases!$C:$C,A114,Cases!$L:$L,"Failed")</f>
        <v/>
      </c>
      <c r="H114" s="15">
        <f>COUNTIFS(Cases!$C:$C,A114,Cases!$L:$L,"Blocked")</f>
        <v/>
      </c>
      <c r="I114" s="15">
        <f>COUNTIFS(Cases!$C:$C,A114,Cases!$L:$L,"Not executed")</f>
        <v/>
      </c>
    </row>
    <row r="115">
      <c r="A115" s="15" t="inlineStr">
        <is>
          <t>TC-114</t>
        </is>
      </c>
      <c r="B115" s="15" t="inlineStr">
        <is>
          <t>TS-36</t>
        </is>
      </c>
      <c r="C115" s="16" t="inlineStr">
        <is>
          <t>SVC – Policy servicing: renewal, endorsement, cancellation</t>
        </is>
      </c>
      <c r="D115" s="16" t="inlineStr">
        <is>
          <t>Approval sets CANCELLED; rejection keeps ACTIVE; policy stays in force meanwhile</t>
        </is>
      </c>
      <c r="E115" s="15">
        <f>COUNTIF(Cases!$C:$C,A115)</f>
        <v/>
      </c>
      <c r="F115" s="15">
        <f>COUNTIFS(Cases!$C:$C,A115,Cases!$L:$L,"Passed")</f>
        <v/>
      </c>
      <c r="G115" s="15">
        <f>COUNTIFS(Cases!$C:$C,A115,Cases!$L:$L,"Failed")</f>
        <v/>
      </c>
      <c r="H115" s="15">
        <f>COUNTIFS(Cases!$C:$C,A115,Cases!$L:$L,"Blocked")</f>
        <v/>
      </c>
      <c r="I115" s="15">
        <f>COUNTIFS(Cases!$C:$C,A115,Cases!$L:$L,"Not executed")</f>
        <v/>
      </c>
    </row>
    <row r="116">
      <c r="A116" s="15" t="inlineStr">
        <is>
          <t>TC-115</t>
        </is>
      </c>
      <c r="B116" s="15" t="inlineStr">
        <is>
          <t>TS-37</t>
        </is>
      </c>
      <c r="C116" s="16" t="inlineStr">
        <is>
          <t>CLM – Claims notification</t>
        </is>
      </c>
      <c r="D116" s="16" t="inlineStr">
        <is>
          <t>Policy validated by number; claims only on active or expired policies</t>
        </is>
      </c>
      <c r="E116" s="15">
        <f>COUNTIF(Cases!$C:$C,A116)</f>
        <v/>
      </c>
      <c r="F116" s="15">
        <f>COUNTIFS(Cases!$C:$C,A116,Cases!$L:$L,"Passed")</f>
        <v/>
      </c>
      <c r="G116" s="15">
        <f>COUNTIFS(Cases!$C:$C,A116,Cases!$L:$L,"Failed")</f>
        <v/>
      </c>
      <c r="H116" s="15">
        <f>COUNTIFS(Cases!$C:$C,A116,Cases!$L:$L,"Blocked")</f>
        <v/>
      </c>
      <c r="I116" s="15">
        <f>COUNTIFS(Cases!$C:$C,A116,Cases!$L:$L,"Not executed")</f>
        <v/>
      </c>
    </row>
    <row r="117">
      <c r="A117" s="15" t="inlineStr">
        <is>
          <t>TC-116</t>
        </is>
      </c>
      <c r="B117" s="15" t="inlineStr">
        <is>
          <t>TS-37</t>
        </is>
      </c>
      <c r="C117" s="16" t="inlineStr">
        <is>
          <t>CLM – Claims notification</t>
        </is>
      </c>
      <c r="D117" s="16" t="inlineStr">
        <is>
          <t>Event date must fall within the period of cover</t>
        </is>
      </c>
      <c r="E117" s="15">
        <f>COUNTIF(Cases!$C:$C,A117)</f>
        <v/>
      </c>
      <c r="F117" s="15">
        <f>COUNTIFS(Cases!$C:$C,A117,Cases!$L:$L,"Passed")</f>
        <v/>
      </c>
      <c r="G117" s="15">
        <f>COUNTIFS(Cases!$C:$C,A117,Cases!$L:$L,"Failed")</f>
        <v/>
      </c>
      <c r="H117" s="15">
        <f>COUNTIFS(Cases!$C:$C,A117,Cases!$L:$L,"Blocked")</f>
        <v/>
      </c>
      <c r="I117" s="15">
        <f>COUNTIFS(Cases!$C:$C,A117,Cases!$L:$L,"Not executed")</f>
        <v/>
      </c>
    </row>
    <row r="118">
      <c r="A118" s="15" t="inlineStr">
        <is>
          <t>TC-117</t>
        </is>
      </c>
      <c r="B118" s="15" t="inlineStr">
        <is>
          <t>TS-37</t>
        </is>
      </c>
      <c r="C118" s="16" t="inlineStr">
        <is>
          <t>CLM – Claims notification</t>
        </is>
      </c>
      <c r="D118" s="16" t="inlineStr">
        <is>
          <t>Claim number CL/yy/nnnnnn; status transitions SUBMITTED→UNDER_REVIEW→ACKNOWLEDGED/REJECTED→CLOSED only</t>
        </is>
      </c>
      <c r="E118" s="15">
        <f>COUNTIF(Cases!$C:$C,A118)</f>
        <v/>
      </c>
      <c r="F118" s="15">
        <f>COUNTIFS(Cases!$C:$C,A118,Cases!$L:$L,"Passed")</f>
        <v/>
      </c>
      <c r="G118" s="15">
        <f>COUNTIFS(Cases!$C:$C,A118,Cases!$L:$L,"Failed")</f>
        <v/>
      </c>
      <c r="H118" s="15">
        <f>COUNTIFS(Cases!$C:$C,A118,Cases!$L:$L,"Blocked")</f>
        <v/>
      </c>
      <c r="I118" s="15">
        <f>COUNTIFS(Cases!$C:$C,A118,Cases!$L:$L,"Not executed")</f>
        <v/>
      </c>
    </row>
    <row r="119">
      <c r="A119" s="15" t="inlineStr">
        <is>
          <t>TC-118</t>
        </is>
      </c>
      <c r="B119" s="15" t="inlineStr">
        <is>
          <t>TS-37</t>
        </is>
      </c>
      <c r="C119" s="16" t="inlineStr">
        <is>
          <t>CLM – Claims notification</t>
        </is>
      </c>
      <c r="D119" s="16" t="inlineStr">
        <is>
          <t>Supporting documents attached; agent tracks the status; back-office reviews</t>
        </is>
      </c>
      <c r="E119" s="15">
        <f>COUNTIF(Cases!$C:$C,A119)</f>
        <v/>
      </c>
      <c r="F119" s="15">
        <f>COUNTIFS(Cases!$C:$C,A119,Cases!$L:$L,"Passed")</f>
        <v/>
      </c>
      <c r="G119" s="15">
        <f>COUNTIFS(Cases!$C:$C,A119,Cases!$L:$L,"Failed")</f>
        <v/>
      </c>
      <c r="H119" s="15">
        <f>COUNTIFS(Cases!$C:$C,A119,Cases!$L:$L,"Blocked")</f>
        <v/>
      </c>
      <c r="I119" s="15">
        <f>COUNTIFS(Cases!$C:$C,A119,Cases!$L:$L,"Not executed")</f>
        <v/>
      </c>
    </row>
    <row r="120">
      <c r="A120" s="15" t="inlineStr">
        <is>
          <t>TC-119</t>
        </is>
      </c>
      <c r="B120" s="15" t="inlineStr">
        <is>
          <t>TS-38</t>
        </is>
      </c>
      <c r="C120" s="16" t="inlineStr">
        <is>
          <t>DOC – Documents and uploads</t>
        </is>
      </c>
      <c r="D120" s="16" t="inlineStr">
        <is>
          <t>Type detected from content (PDF, PNG, JPEG only); extension forced; executables, HTML and SVG refused</t>
        </is>
      </c>
      <c r="E120" s="15">
        <f>COUNTIF(Cases!$C:$C,A120)</f>
        <v/>
      </c>
      <c r="F120" s="15">
        <f>COUNTIFS(Cases!$C:$C,A120,Cases!$L:$L,"Passed")</f>
        <v/>
      </c>
      <c r="G120" s="15">
        <f>COUNTIFS(Cases!$C:$C,A120,Cases!$L:$L,"Failed")</f>
        <v/>
      </c>
      <c r="H120" s="15">
        <f>COUNTIFS(Cases!$C:$C,A120,Cases!$L:$L,"Blocked")</f>
        <v/>
      </c>
      <c r="I120" s="15">
        <f>COUNTIFS(Cases!$C:$C,A120,Cases!$L:$L,"Not executed")</f>
        <v/>
      </c>
    </row>
    <row r="121">
      <c r="A121" s="15" t="inlineStr">
        <is>
          <t>TC-120</t>
        </is>
      </c>
      <c r="B121" s="15" t="inlineStr">
        <is>
          <t>TS-38</t>
        </is>
      </c>
      <c r="C121" s="16" t="inlineStr">
        <is>
          <t>DOC – Documents and uploads</t>
        </is>
      </c>
      <c r="D121" s="16" t="inlineStr">
        <is>
          <t>Size limit enforced; file required; path elements removed from names</t>
        </is>
      </c>
      <c r="E121" s="15">
        <f>COUNTIF(Cases!$C:$C,A121)</f>
        <v/>
      </c>
      <c r="F121" s="15">
        <f>COUNTIFS(Cases!$C:$C,A121,Cases!$L:$L,"Passed")</f>
        <v/>
      </c>
      <c r="G121" s="15">
        <f>COUNTIFS(Cases!$C:$C,A121,Cases!$L:$L,"Failed")</f>
        <v/>
      </c>
      <c r="H121" s="15">
        <f>COUNTIFS(Cases!$C:$C,A121,Cases!$L:$L,"Blocked")</f>
        <v/>
      </c>
      <c r="I121" s="15">
        <f>COUNTIFS(Cases!$C:$C,A121,Cases!$L:$L,"Not executed")</f>
        <v/>
      </c>
    </row>
    <row r="122">
      <c r="A122" s="15" t="inlineStr">
        <is>
          <t>TC-121</t>
        </is>
      </c>
      <c r="B122" s="15" t="inlineStr">
        <is>
          <t>TS-38</t>
        </is>
      </c>
      <c r="C122" s="16" t="inlineStr">
        <is>
          <t>DOC – Documents and uploads</t>
        </is>
      </c>
      <c r="D122" s="16" t="inlineStr">
        <is>
          <t>Documents stored encrypted with SHA-256 and listed with status; malware scan mandatory in production</t>
        </is>
      </c>
      <c r="E122" s="15">
        <f>COUNTIF(Cases!$C:$C,A122)</f>
        <v/>
      </c>
      <c r="F122" s="15">
        <f>COUNTIFS(Cases!$C:$C,A122,Cases!$L:$L,"Passed")</f>
        <v/>
      </c>
      <c r="G122" s="15">
        <f>COUNTIFS(Cases!$C:$C,A122,Cases!$L:$L,"Failed")</f>
        <v/>
      </c>
      <c r="H122" s="15">
        <f>COUNTIFS(Cases!$C:$C,A122,Cases!$L:$L,"Blocked")</f>
        <v/>
      </c>
      <c r="I122" s="15">
        <f>COUNTIFS(Cases!$C:$C,A122,Cases!$L:$L,"Not executed")</f>
        <v/>
      </c>
    </row>
    <row r="123">
      <c r="A123" s="15" t="inlineStr">
        <is>
          <t>TC-122</t>
        </is>
      </c>
      <c r="B123" s="15" t="inlineStr">
        <is>
          <t>TS-38</t>
        </is>
      </c>
      <c r="C123" s="16" t="inlineStr">
        <is>
          <t>DOC – Documents and uploads</t>
        </is>
      </c>
      <c r="D123" s="16" t="inlineStr">
        <is>
          <t>Back-office verification: rejection needs remarks; uploader cannot verify own document; system documents need no review</t>
        </is>
      </c>
      <c r="E123" s="15">
        <f>COUNTIF(Cases!$C:$C,A123)</f>
        <v/>
      </c>
      <c r="F123" s="15">
        <f>COUNTIFS(Cases!$C:$C,A123,Cases!$L:$L,"Passed")</f>
        <v/>
      </c>
      <c r="G123" s="15">
        <f>COUNTIFS(Cases!$C:$C,A123,Cases!$L:$L,"Failed")</f>
        <v/>
      </c>
      <c r="H123" s="15">
        <f>COUNTIFS(Cases!$C:$C,A123,Cases!$L:$L,"Blocked")</f>
        <v/>
      </c>
      <c r="I123" s="15">
        <f>COUNTIFS(Cases!$C:$C,A123,Cases!$L:$L,"Not executed")</f>
        <v/>
      </c>
    </row>
    <row r="124">
      <c r="A124" s="15" t="inlineStr">
        <is>
          <t>TC-123</t>
        </is>
      </c>
      <c r="B124" s="15" t="inlineStr">
        <is>
          <t>TS-39</t>
        </is>
      </c>
      <c r="C124" s="16" t="inlineStr">
        <is>
          <t>DOC – Documents and uploads</t>
        </is>
      </c>
      <c r="D124" s="16" t="inlineStr">
        <is>
          <t>Registration approval blocked until IC copy (or passport copy) uploaded</t>
        </is>
      </c>
      <c r="E124" s="15">
        <f>COUNTIF(Cases!$C:$C,A124)</f>
        <v/>
      </c>
      <c r="F124" s="15">
        <f>COUNTIFS(Cases!$C:$C,A124,Cases!$L:$L,"Passed")</f>
        <v/>
      </c>
      <c r="G124" s="15">
        <f>COUNTIFS(Cases!$C:$C,A124,Cases!$L:$L,"Failed")</f>
        <v/>
      </c>
      <c r="H124" s="15">
        <f>COUNTIFS(Cases!$C:$C,A124,Cases!$L:$L,"Blocked")</f>
        <v/>
      </c>
      <c r="I124" s="15">
        <f>COUNTIFS(Cases!$C:$C,A124,Cases!$L:$L,"Not executed")</f>
        <v/>
      </c>
    </row>
    <row r="125">
      <c r="A125" s="15" t="inlineStr">
        <is>
          <t>TC-124</t>
        </is>
      </c>
      <c r="B125" s="15" t="inlineStr">
        <is>
          <t>TS-39</t>
        </is>
      </c>
      <c r="C125" s="16" t="inlineStr">
        <is>
          <t>DOC – Documents and uploads</t>
        </is>
      </c>
      <c r="D125" s="16" t="inlineStr">
        <is>
          <t>Document expiry dates recorded; expiry warning within the configured days</t>
        </is>
      </c>
      <c r="E125" s="15">
        <f>COUNTIF(Cases!$C:$C,A125)</f>
        <v/>
      </c>
      <c r="F125" s="15">
        <f>COUNTIFS(Cases!$C:$C,A125,Cases!$L:$L,"Passed")</f>
        <v/>
      </c>
      <c r="G125" s="15">
        <f>COUNTIFS(Cases!$C:$C,A125,Cases!$L:$L,"Failed")</f>
        <v/>
      </c>
      <c r="H125" s="15">
        <f>COUNTIFS(Cases!$C:$C,A125,Cases!$L:$L,"Blocked")</f>
        <v/>
      </c>
      <c r="I125" s="15">
        <f>COUNTIFS(Cases!$C:$C,A125,Cases!$L:$L,"Not executed")</f>
        <v/>
      </c>
    </row>
    <row r="126">
      <c r="A126" s="15" t="inlineStr">
        <is>
          <t>TC-125</t>
        </is>
      </c>
      <c r="B126" s="15" t="inlineStr">
        <is>
          <t>TS-40</t>
        </is>
      </c>
      <c r="C126" s="16" t="inlineStr">
        <is>
          <t>DSH – Dashboards and notifications</t>
        </is>
      </c>
      <c r="D126" s="16" t="inlineStr">
        <is>
          <t>Portal dashboard: profile, production KPIs, pending actions (drafts, rejected, blocked agency)</t>
        </is>
      </c>
      <c r="E126" s="15">
        <f>COUNTIF(Cases!$C:$C,A126)</f>
        <v/>
      </c>
      <c r="F126" s="15">
        <f>COUNTIFS(Cases!$C:$C,A126,Cases!$L:$L,"Passed")</f>
        <v/>
      </c>
      <c r="G126" s="15">
        <f>COUNTIFS(Cases!$C:$C,A126,Cases!$L:$L,"Failed")</f>
        <v/>
      </c>
      <c r="H126" s="15">
        <f>COUNTIFS(Cases!$C:$C,A126,Cases!$L:$L,"Blocked")</f>
        <v/>
      </c>
      <c r="I126" s="15">
        <f>COUNTIFS(Cases!$C:$C,A126,Cases!$L:$L,"Not executed")</f>
        <v/>
      </c>
    </row>
    <row r="127">
      <c r="A127" s="15" t="inlineStr">
        <is>
          <t>TC-126</t>
        </is>
      </c>
      <c r="B127" s="15" t="inlineStr">
        <is>
          <t>TS-40</t>
        </is>
      </c>
      <c r="C127" s="16" t="inlineStr">
        <is>
          <t>DSH – Dashboards and notifications</t>
        </is>
      </c>
      <c r="D127" s="16" t="inlineStr">
        <is>
          <t>Management dashboard: KPIs, 12-month trend, outstanding actions; back-office inbox and document queue</t>
        </is>
      </c>
      <c r="E127" s="15">
        <f>COUNTIF(Cases!$C:$C,A127)</f>
        <v/>
      </c>
      <c r="F127" s="15">
        <f>COUNTIFS(Cases!$C:$C,A127,Cases!$L:$L,"Passed")</f>
        <v/>
      </c>
      <c r="G127" s="15">
        <f>COUNTIFS(Cases!$C:$C,A127,Cases!$L:$L,"Failed")</f>
        <v/>
      </c>
      <c r="H127" s="15">
        <f>COUNTIFS(Cases!$C:$C,A127,Cases!$L:$L,"Blocked")</f>
        <v/>
      </c>
      <c r="I127" s="15">
        <f>COUNTIFS(Cases!$C:$C,A127,Cases!$L:$L,"Not executed")</f>
        <v/>
      </c>
    </row>
    <row r="128">
      <c r="A128" s="15" t="inlineStr">
        <is>
          <t>TC-127</t>
        </is>
      </c>
      <c r="B128" s="15" t="inlineStr">
        <is>
          <t>TS-41</t>
        </is>
      </c>
      <c r="C128" s="16" t="inlineStr">
        <is>
          <t>DSH – Dashboards and notifications</t>
        </is>
      </c>
      <c r="D128" s="16" t="inlineStr">
        <is>
          <t>In-app notifications created for status changes, approvals, rejections, SLA and block events; unread count; mark read</t>
        </is>
      </c>
      <c r="E128" s="15">
        <f>COUNTIF(Cases!$C:$C,A128)</f>
        <v/>
      </c>
      <c r="F128" s="15">
        <f>COUNTIFS(Cases!$C:$C,A128,Cases!$L:$L,"Passed")</f>
        <v/>
      </c>
      <c r="G128" s="15">
        <f>COUNTIFS(Cases!$C:$C,A128,Cases!$L:$L,"Failed")</f>
        <v/>
      </c>
      <c r="H128" s="15">
        <f>COUNTIFS(Cases!$C:$C,A128,Cases!$L:$L,"Blocked")</f>
        <v/>
      </c>
      <c r="I128" s="15">
        <f>COUNTIFS(Cases!$C:$C,A128,Cases!$L:$L,"Not executed")</f>
        <v/>
      </c>
    </row>
    <row r="129">
      <c r="A129" s="15" t="inlineStr">
        <is>
          <t>TC-128</t>
        </is>
      </c>
      <c r="B129" s="15" t="inlineStr">
        <is>
          <t>TS-41</t>
        </is>
      </c>
      <c r="C129" s="16" t="inlineStr">
        <is>
          <t>DSH – Dashboards and notifications</t>
        </is>
      </c>
      <c r="D129" s="16" t="inlineStr">
        <is>
          <t>E-mail and SMS delivered through configured gateways with retry and logging; recorded when not configured</t>
        </is>
      </c>
      <c r="E129" s="15">
        <f>COUNTIF(Cases!$C:$C,A129)</f>
        <v/>
      </c>
      <c r="F129" s="15">
        <f>COUNTIFS(Cases!$C:$C,A129,Cases!$L:$L,"Passed")</f>
        <v/>
      </c>
      <c r="G129" s="15">
        <f>COUNTIFS(Cases!$C:$C,A129,Cases!$L:$L,"Failed")</f>
        <v/>
      </c>
      <c r="H129" s="15">
        <f>COUNTIFS(Cases!$C:$C,A129,Cases!$L:$L,"Blocked")</f>
        <v/>
      </c>
      <c r="I129" s="15">
        <f>COUNTIFS(Cases!$C:$C,A129,Cases!$L:$L,"Not executed")</f>
        <v/>
      </c>
    </row>
    <row r="130">
      <c r="A130" s="15" t="inlineStr">
        <is>
          <t>TC-129</t>
        </is>
      </c>
      <c r="B130" s="15" t="inlineStr">
        <is>
          <t>TS-42</t>
        </is>
      </c>
      <c r="C130" s="16" t="inlineStr">
        <is>
          <t>ISS – Issue management and SLA</t>
        </is>
      </c>
      <c r="D130" s="16" t="inlineStr">
        <is>
          <t>Issue number ISS/yy/nnnnnn; priority-based response and resolution targets from parameters</t>
        </is>
      </c>
      <c r="E130" s="15">
        <f>COUNTIF(Cases!$C:$C,A130)</f>
        <v/>
      </c>
      <c r="F130" s="15">
        <f>COUNTIFS(Cases!$C:$C,A130,Cases!$L:$L,"Passed")</f>
        <v/>
      </c>
      <c r="G130" s="15">
        <f>COUNTIFS(Cases!$C:$C,A130,Cases!$L:$L,"Failed")</f>
        <v/>
      </c>
      <c r="H130" s="15">
        <f>COUNTIFS(Cases!$C:$C,A130,Cases!$L:$L,"Blocked")</f>
        <v/>
      </c>
      <c r="I130" s="15">
        <f>COUNTIFS(Cases!$C:$C,A130,Cases!$L:$L,"Not executed")</f>
        <v/>
      </c>
    </row>
    <row r="131">
      <c r="A131" s="15" t="inlineStr">
        <is>
          <t>TC-130</t>
        </is>
      </c>
      <c r="B131" s="15" t="inlineStr">
        <is>
          <t>TS-42</t>
        </is>
      </c>
      <c r="C131" s="16" t="inlineStr">
        <is>
          <t>ISS – Issue management and SLA</t>
        </is>
      </c>
      <c r="D131" s="16" t="inlineStr">
        <is>
          <t>Assignment to active support users; priority change recomputes targets</t>
        </is>
      </c>
      <c r="E131" s="15">
        <f>COUNTIF(Cases!$C:$C,A131)</f>
        <v/>
      </c>
      <c r="F131" s="15">
        <f>COUNTIFS(Cases!$C:$C,A131,Cases!$L:$L,"Passed")</f>
        <v/>
      </c>
      <c r="G131" s="15">
        <f>COUNTIFS(Cases!$C:$C,A131,Cases!$L:$L,"Failed")</f>
        <v/>
      </c>
      <c r="H131" s="15">
        <f>COUNTIFS(Cases!$C:$C,A131,Cases!$L:$L,"Blocked")</f>
        <v/>
      </c>
      <c r="I131" s="15">
        <f>COUNTIFS(Cases!$C:$C,A131,Cases!$L:$L,"Not executed")</f>
        <v/>
      </c>
    </row>
    <row r="132">
      <c r="A132" s="15" t="inlineStr">
        <is>
          <t>TC-131</t>
        </is>
      </c>
      <c r="B132" s="15" t="inlineStr">
        <is>
          <t>TS-42</t>
        </is>
      </c>
      <c r="C132" s="16" t="inlineStr">
        <is>
          <t>ISS – Issue management and SLA</t>
        </is>
      </c>
      <c r="D132" s="16" t="inlineStr">
        <is>
          <t>Internal comments hidden from the reporter; resolution text mandatory; reporter closes</t>
        </is>
      </c>
      <c r="E132" s="15">
        <f>COUNTIF(Cases!$C:$C,A132)</f>
        <v/>
      </c>
      <c r="F132" s="15">
        <f>COUNTIFS(Cases!$C:$C,A132,Cases!$L:$L,"Passed")</f>
        <v/>
      </c>
      <c r="G132" s="15">
        <f>COUNTIFS(Cases!$C:$C,A132,Cases!$L:$L,"Failed")</f>
        <v/>
      </c>
      <c r="H132" s="15">
        <f>COUNTIFS(Cases!$C:$C,A132,Cases!$L:$L,"Blocked")</f>
        <v/>
      </c>
      <c r="I132" s="15">
        <f>COUNTIFS(Cases!$C:$C,A132,Cases!$L:$L,"Not executed")</f>
        <v/>
      </c>
    </row>
    <row r="133">
      <c r="A133" s="15" t="inlineStr">
        <is>
          <t>TC-132</t>
        </is>
      </c>
      <c r="B133" s="15" t="inlineStr">
        <is>
          <t>TS-42</t>
        </is>
      </c>
      <c r="C133" s="16" t="inlineStr">
        <is>
          <t>ISS – Issue management and SLA</t>
        </is>
      </c>
      <c r="D133" s="16" t="inlineStr">
        <is>
          <t>SLA monitor flags breaches and alerts issue managers</t>
        </is>
      </c>
      <c r="E133" s="15">
        <f>COUNTIF(Cases!$C:$C,A133)</f>
        <v/>
      </c>
      <c r="F133" s="15">
        <f>COUNTIFS(Cases!$C:$C,A133,Cases!$L:$L,"Passed")</f>
        <v/>
      </c>
      <c r="G133" s="15">
        <f>COUNTIFS(Cases!$C:$C,A133,Cases!$L:$L,"Failed")</f>
        <v/>
      </c>
      <c r="H133" s="15">
        <f>COUNTIFS(Cases!$C:$C,A133,Cases!$L:$L,"Blocked")</f>
        <v/>
      </c>
      <c r="I133" s="15">
        <f>COUNTIFS(Cases!$C:$C,A133,Cases!$L:$L,"Not executed")</f>
        <v/>
      </c>
    </row>
    <row r="134">
      <c r="A134" s="15" t="inlineStr">
        <is>
          <t>TC-133</t>
        </is>
      </c>
      <c r="B134" s="15" t="inlineStr">
        <is>
          <t>TS-42</t>
        </is>
      </c>
      <c r="C134" s="16" t="inlineStr">
        <is>
          <t>ISS – Issue management and SLA</t>
        </is>
      </c>
      <c r="D134" s="16" t="inlineStr">
        <is>
          <t>Attachments (screenshots, documents) can be added to an issue</t>
        </is>
      </c>
      <c r="E134" s="15">
        <f>COUNTIF(Cases!$C:$C,A134)</f>
        <v/>
      </c>
      <c r="F134" s="15">
        <f>COUNTIFS(Cases!$C:$C,A134,Cases!$L:$L,"Passed")</f>
        <v/>
      </c>
      <c r="G134" s="15">
        <f>COUNTIFS(Cases!$C:$C,A134,Cases!$L:$L,"Failed")</f>
        <v/>
      </c>
      <c r="H134" s="15">
        <f>COUNTIFS(Cases!$C:$C,A134,Cases!$L:$L,"Blocked")</f>
        <v/>
      </c>
      <c r="I134" s="15">
        <f>COUNTIFS(Cases!$C:$C,A134,Cases!$L:$L,"Not executed")</f>
        <v/>
      </c>
    </row>
    <row r="135">
      <c r="A135" s="15" t="inlineStr">
        <is>
          <t>TC-134</t>
        </is>
      </c>
      <c r="B135" s="15" t="inlineStr">
        <is>
          <t>TS-43</t>
        </is>
      </c>
      <c r="C135" s="16" t="inlineStr">
        <is>
          <t>RPT – Reporting</t>
        </is>
      </c>
      <c r="D135" s="16" t="inlineStr">
        <is>
          <t>Twelve standard reports run with date, product, agency, agent and status filters</t>
        </is>
      </c>
      <c r="E135" s="15">
        <f>COUNTIF(Cases!$C:$C,A135)</f>
        <v/>
      </c>
      <c r="F135" s="15">
        <f>COUNTIFS(Cases!$C:$C,A135,Cases!$L:$L,"Passed")</f>
        <v/>
      </c>
      <c r="G135" s="15">
        <f>COUNTIFS(Cases!$C:$C,A135,Cases!$L:$L,"Failed")</f>
        <v/>
      </c>
      <c r="H135" s="15">
        <f>COUNTIFS(Cases!$C:$C,A135,Cases!$L:$L,"Blocked")</f>
        <v/>
      </c>
      <c r="I135" s="15">
        <f>COUNTIFS(Cases!$C:$C,A135,Cases!$L:$L,"Not executed")</f>
        <v/>
      </c>
    </row>
    <row r="136">
      <c r="A136" s="15" t="inlineStr">
        <is>
          <t>TC-135</t>
        </is>
      </c>
      <c r="B136" s="15" t="inlineStr">
        <is>
          <t>TS-43</t>
        </is>
      </c>
      <c r="C136" s="16" t="inlineStr">
        <is>
          <t>RPT – Reporting</t>
        </is>
      </c>
      <c r="D136" s="16" t="inlineStr">
        <is>
          <t>Export to XLSX, CSV and PDF with correct content types; CSV cells quoted and formulas neutralised</t>
        </is>
      </c>
      <c r="E136" s="15">
        <f>COUNTIF(Cases!$C:$C,A136)</f>
        <v/>
      </c>
      <c r="F136" s="15">
        <f>COUNTIFS(Cases!$C:$C,A136,Cases!$L:$L,"Passed")</f>
        <v/>
      </c>
      <c r="G136" s="15">
        <f>COUNTIFS(Cases!$C:$C,A136,Cases!$L:$L,"Failed")</f>
        <v/>
      </c>
      <c r="H136" s="15">
        <f>COUNTIFS(Cases!$C:$C,A136,Cases!$L:$L,"Blocked")</f>
        <v/>
      </c>
      <c r="I136" s="15">
        <f>COUNTIFS(Cases!$C:$C,A136,Cases!$L:$L,"Not executed")</f>
        <v/>
      </c>
    </row>
    <row r="137">
      <c r="A137" s="15" t="inlineStr">
        <is>
          <t>TC-136</t>
        </is>
      </c>
      <c r="B137" s="15" t="inlineStr">
        <is>
          <t>TS-44</t>
        </is>
      </c>
      <c r="C137" s="16" t="inlineStr">
        <is>
          <t>RPT – Reporting</t>
        </is>
      </c>
      <c r="D137" s="16" t="inlineStr">
        <is>
          <t>Portal catalogue excludes back-office reports; data limited to the agent's scope</t>
        </is>
      </c>
      <c r="E137" s="15">
        <f>COUNTIF(Cases!$C:$C,A137)</f>
        <v/>
      </c>
      <c r="F137" s="15">
        <f>COUNTIFS(Cases!$C:$C,A137,Cases!$L:$L,"Passed")</f>
        <v/>
      </c>
      <c r="G137" s="15">
        <f>COUNTIFS(Cases!$C:$C,A137,Cases!$L:$L,"Failed")</f>
        <v/>
      </c>
      <c r="H137" s="15">
        <f>COUNTIFS(Cases!$C:$C,A137,Cases!$L:$L,"Blocked")</f>
        <v/>
      </c>
      <c r="I137" s="15">
        <f>COUNTIFS(Cases!$C:$C,A137,Cases!$L:$L,"Not executed")</f>
        <v/>
      </c>
    </row>
    <row r="138">
      <c r="A138" s="15" t="inlineStr">
        <is>
          <t>TC-137</t>
        </is>
      </c>
      <c r="B138" s="15" t="inlineStr">
        <is>
          <t>TS-45</t>
        </is>
      </c>
      <c r="C138" s="16" t="inlineStr">
        <is>
          <t>RPT – Reporting</t>
        </is>
      </c>
      <c r="D138" s="16" t="inlineStr">
        <is>
          <t>Schedules validated (recipients, frequency, period); next run computed in Brunei time; generated report e-mailed</t>
        </is>
      </c>
      <c r="E138" s="15">
        <f>COUNTIF(Cases!$C:$C,A138)</f>
        <v/>
      </c>
      <c r="F138" s="15">
        <f>COUNTIFS(Cases!$C:$C,A138,Cases!$L:$L,"Passed")</f>
        <v/>
      </c>
      <c r="G138" s="15">
        <f>COUNTIFS(Cases!$C:$C,A138,Cases!$L:$L,"Failed")</f>
        <v/>
      </c>
      <c r="H138" s="15">
        <f>COUNTIFS(Cases!$C:$C,A138,Cases!$L:$L,"Blocked")</f>
        <v/>
      </c>
      <c r="I138" s="15">
        <f>COUNTIFS(Cases!$C:$C,A138,Cases!$L:$L,"Not executed")</f>
        <v/>
      </c>
    </row>
    <row r="139">
      <c r="A139" s="15" t="inlineStr">
        <is>
          <t>TC-138</t>
        </is>
      </c>
      <c r="B139" s="15" t="inlineStr">
        <is>
          <t>TS-46</t>
        </is>
      </c>
      <c r="C139" s="16" t="inlineStr">
        <is>
          <t>AUD – Audit trail</t>
        </is>
      </c>
      <c r="D139" s="16" t="inlineStr">
        <is>
          <t>Actions recorded with actor, time, IP, entity, before/after values</t>
        </is>
      </c>
      <c r="E139" s="15">
        <f>COUNTIF(Cases!$C:$C,A139)</f>
        <v/>
      </c>
      <c r="F139" s="15">
        <f>COUNTIFS(Cases!$C:$C,A139,Cases!$L:$L,"Passed")</f>
        <v/>
      </c>
      <c r="G139" s="15">
        <f>COUNTIFS(Cases!$C:$C,A139,Cases!$L:$L,"Failed")</f>
        <v/>
      </c>
      <c r="H139" s="15">
        <f>COUNTIFS(Cases!$C:$C,A139,Cases!$L:$L,"Blocked")</f>
        <v/>
      </c>
      <c r="I139" s="15">
        <f>COUNTIFS(Cases!$C:$C,A139,Cases!$L:$L,"Not executed")</f>
        <v/>
      </c>
    </row>
    <row r="140">
      <c r="A140" s="15" t="inlineStr">
        <is>
          <t>TC-139</t>
        </is>
      </c>
      <c r="B140" s="15" t="inlineStr">
        <is>
          <t>TS-46</t>
        </is>
      </c>
      <c r="C140" s="16" t="inlineStr">
        <is>
          <t>AUD – Audit trail</t>
        </is>
      </c>
      <c r="D140" s="16" t="inlineStr">
        <is>
          <t>Audit search by actor, action, entity and date; facets; restricted to bo.audit.view</t>
        </is>
      </c>
      <c r="E140" s="15">
        <f>COUNTIF(Cases!$C:$C,A140)</f>
        <v/>
      </c>
      <c r="F140" s="15">
        <f>COUNTIFS(Cases!$C:$C,A140,Cases!$L:$L,"Passed")</f>
        <v/>
      </c>
      <c r="G140" s="15">
        <f>COUNTIFS(Cases!$C:$C,A140,Cases!$L:$L,"Failed")</f>
        <v/>
      </c>
      <c r="H140" s="15">
        <f>COUNTIFS(Cases!$C:$C,A140,Cases!$L:$L,"Blocked")</f>
        <v/>
      </c>
      <c r="I140" s="15">
        <f>COUNTIFS(Cases!$C:$C,A140,Cases!$L:$L,"Not executed")</f>
        <v/>
      </c>
    </row>
    <row r="141">
      <c r="A141" s="15" t="inlineStr">
        <is>
          <t>TC-140</t>
        </is>
      </c>
      <c r="B141" s="15" t="inlineStr">
        <is>
          <t>TS-46</t>
        </is>
      </c>
      <c r="C141" s="16" t="inlineStr">
        <is>
          <t>AUD – Audit trail</t>
        </is>
      </c>
      <c r="D141" s="16" t="inlineStr">
        <is>
          <t>Audit table is append-only at database level (UPDATE/DELETE rejected)</t>
        </is>
      </c>
      <c r="E141" s="15">
        <f>COUNTIF(Cases!$C:$C,A141)</f>
        <v/>
      </c>
      <c r="F141" s="15">
        <f>COUNTIFS(Cases!$C:$C,A141,Cases!$L:$L,"Passed")</f>
        <v/>
      </c>
      <c r="G141" s="15">
        <f>COUNTIFS(Cases!$C:$C,A141,Cases!$L:$L,"Failed")</f>
        <v/>
      </c>
      <c r="H141" s="15">
        <f>COUNTIFS(Cases!$C:$C,A141,Cases!$L:$L,"Blocked")</f>
        <v/>
      </c>
      <c r="I141" s="15">
        <f>COUNTIFS(Cases!$C:$C,A141,Cases!$L:$L,"Not executed")</f>
        <v/>
      </c>
    </row>
    <row r="142">
      <c r="A142" s="15" t="inlineStr">
        <is>
          <t>TC-141</t>
        </is>
      </c>
      <c r="B142" s="15" t="inlineStr">
        <is>
          <t>TS-47</t>
        </is>
      </c>
      <c r="C142" s="16" t="inlineStr">
        <is>
          <t>ADM – Administration and configuration</t>
        </is>
      </c>
      <c r="D142" s="16" t="inlineStr">
        <is>
          <t>User created with a generated temporary password; at least one role of the right audience</t>
        </is>
      </c>
      <c r="E142" s="15">
        <f>COUNTIF(Cases!$C:$C,A142)</f>
        <v/>
      </c>
      <c r="F142" s="15">
        <f>COUNTIFS(Cases!$C:$C,A142,Cases!$L:$L,"Passed")</f>
        <v/>
      </c>
      <c r="G142" s="15">
        <f>COUNTIFS(Cases!$C:$C,A142,Cases!$L:$L,"Failed")</f>
        <v/>
      </c>
      <c r="H142" s="15">
        <f>COUNTIFS(Cases!$C:$C,A142,Cases!$L:$L,"Blocked")</f>
        <v/>
      </c>
      <c r="I142" s="15">
        <f>COUNTIFS(Cases!$C:$C,A142,Cases!$L:$L,"Not executed")</f>
        <v/>
      </c>
    </row>
    <row r="143">
      <c r="A143" s="15" t="inlineStr">
        <is>
          <t>TC-142</t>
        </is>
      </c>
      <c r="B143" s="15" t="inlineStr">
        <is>
          <t>TS-47</t>
        </is>
      </c>
      <c r="C143" s="16" t="inlineStr">
        <is>
          <t>ADM – Administration and configuration</t>
        </is>
      </c>
      <c r="D143" s="16" t="inlineStr">
        <is>
          <t>Self-service limits: no self-disable, self-reset or self-role-change; disabled accounts cannot sign in</t>
        </is>
      </c>
      <c r="E143" s="15">
        <f>COUNTIF(Cases!$C:$C,A143)</f>
        <v/>
      </c>
      <c r="F143" s="15">
        <f>COUNTIFS(Cases!$C:$C,A143,Cases!$L:$L,"Passed")</f>
        <v/>
      </c>
      <c r="G143" s="15">
        <f>COUNTIFS(Cases!$C:$C,A143,Cases!$L:$L,"Failed")</f>
        <v/>
      </c>
      <c r="H143" s="15">
        <f>COUNTIFS(Cases!$C:$C,A143,Cases!$L:$L,"Blocked")</f>
        <v/>
      </c>
      <c r="I143" s="15">
        <f>COUNTIFS(Cases!$C:$C,A143,Cases!$L:$L,"Not executed")</f>
        <v/>
      </c>
    </row>
    <row r="144">
      <c r="A144" s="15" t="inlineStr">
        <is>
          <t>TC-143</t>
        </is>
      </c>
      <c r="B144" s="15" t="inlineStr">
        <is>
          <t>TS-47</t>
        </is>
      </c>
      <c r="C144" s="16" t="inlineStr">
        <is>
          <t>ADM – Administration and configuration</t>
        </is>
      </c>
      <c r="D144" s="16" t="inlineStr">
        <is>
          <t>Password reset issues a new temporary password; directory accounts excluded</t>
        </is>
      </c>
      <c r="E144" s="15">
        <f>COUNTIF(Cases!$C:$C,A144)</f>
        <v/>
      </c>
      <c r="F144" s="15">
        <f>COUNTIFS(Cases!$C:$C,A144,Cases!$L:$L,"Passed")</f>
        <v/>
      </c>
      <c r="G144" s="15">
        <f>COUNTIFS(Cases!$C:$C,A144,Cases!$L:$L,"Failed")</f>
        <v/>
      </c>
      <c r="H144" s="15">
        <f>COUNTIFS(Cases!$C:$C,A144,Cases!$L:$L,"Blocked")</f>
        <v/>
      </c>
      <c r="I144" s="15">
        <f>COUNTIFS(Cases!$C:$C,A144,Cases!$L:$L,"Not executed")</f>
        <v/>
      </c>
    </row>
    <row r="145">
      <c r="A145" s="15" t="inlineStr">
        <is>
          <t>TC-144</t>
        </is>
      </c>
      <c r="B145" s="15" t="inlineStr">
        <is>
          <t>TS-48</t>
        </is>
      </c>
      <c r="C145" s="16" t="inlineStr">
        <is>
          <t>ADM – Administration and configuration</t>
        </is>
      </c>
      <c r="D145" s="16" t="inlineStr">
        <is>
          <t>Permissions must match the role audience; system roles cannot be deleted; roles in use cannot be deleted</t>
        </is>
      </c>
      <c r="E145" s="15">
        <f>COUNTIF(Cases!$C:$C,A145)</f>
        <v/>
      </c>
      <c r="F145" s="15">
        <f>COUNTIFS(Cases!$C:$C,A145,Cases!$L:$L,"Passed")</f>
        <v/>
      </c>
      <c r="G145" s="15">
        <f>COUNTIFS(Cases!$C:$C,A145,Cases!$L:$L,"Failed")</f>
        <v/>
      </c>
      <c r="H145" s="15">
        <f>COUNTIFS(Cases!$C:$C,A145,Cases!$L:$L,"Blocked")</f>
        <v/>
      </c>
      <c r="I145" s="15">
        <f>COUNTIFS(Cases!$C:$C,A145,Cases!$L:$L,"Not executed")</f>
        <v/>
      </c>
    </row>
    <row r="146">
      <c r="A146" s="15" t="inlineStr">
        <is>
          <t>TC-145</t>
        </is>
      </c>
      <c r="B146" s="15" t="inlineStr">
        <is>
          <t>TS-49</t>
        </is>
      </c>
      <c r="C146" s="16" t="inlineStr">
        <is>
          <t>ADM – Administration and configuration</t>
        </is>
      </c>
      <c r="D146" s="16" t="inlineStr">
        <is>
          <t>Parameters validated by type and range; change applied immediately and audited</t>
        </is>
      </c>
      <c r="E146" s="15">
        <f>COUNTIF(Cases!$C:$C,A146)</f>
        <v/>
      </c>
      <c r="F146" s="15">
        <f>COUNTIFS(Cases!$C:$C,A146,Cases!$L:$L,"Passed")</f>
        <v/>
      </c>
      <c r="G146" s="15">
        <f>COUNTIFS(Cases!$C:$C,A146,Cases!$L:$L,"Failed")</f>
        <v/>
      </c>
      <c r="H146" s="15">
        <f>COUNTIFS(Cases!$C:$C,A146,Cases!$L:$L,"Blocked")</f>
        <v/>
      </c>
      <c r="I146" s="15">
        <f>COUNTIFS(Cases!$C:$C,A146,Cases!$L:$L,"Not executed")</f>
        <v/>
      </c>
    </row>
    <row r="147">
      <c r="A147" s="15" t="inlineStr">
        <is>
          <t>TC-146</t>
        </is>
      </c>
      <c r="B147" s="15" t="inlineStr">
        <is>
          <t>TS-49</t>
        </is>
      </c>
      <c r="C147" s="16" t="inlineStr">
        <is>
          <t>ADM – Administration and configuration</t>
        </is>
      </c>
      <c r="D147" s="16" t="inlineStr">
        <is>
          <t>Master data codes created, relabelled and deactivated; inactive codes refused in transactions</t>
        </is>
      </c>
      <c r="E147" s="15">
        <f>COUNTIF(Cases!$C:$C,A147)</f>
        <v/>
      </c>
      <c r="F147" s="15">
        <f>COUNTIFS(Cases!$C:$C,A147,Cases!$L:$L,"Passed")</f>
        <v/>
      </c>
      <c r="G147" s="15">
        <f>COUNTIFS(Cases!$C:$C,A147,Cases!$L:$L,"Failed")</f>
        <v/>
      </c>
      <c r="H147" s="15">
        <f>COUNTIFS(Cases!$C:$C,A147,Cases!$L:$L,"Blocked")</f>
        <v/>
      </c>
      <c r="I147" s="15">
        <f>COUNTIFS(Cases!$C:$C,A147,Cases!$L:$L,"Not executed")</f>
        <v/>
      </c>
    </row>
    <row r="148">
      <c r="A148" s="15" t="inlineStr">
        <is>
          <t>TC-147</t>
        </is>
      </c>
      <c r="B148" s="15" t="inlineStr">
        <is>
          <t>TS-50</t>
        </is>
      </c>
      <c r="C148" s="16" t="inlineStr">
        <is>
          <t>ADM – Administration and configuration</t>
        </is>
      </c>
      <c r="D148" s="16" t="inlineStr">
        <is>
          <t>Eight workflow definitions; steps must use approval permissions; thresholds optional</t>
        </is>
      </c>
      <c r="E148" s="15">
        <f>COUNTIF(Cases!$C:$C,A148)</f>
        <v/>
      </c>
      <c r="F148" s="15">
        <f>COUNTIFS(Cases!$C:$C,A148,Cases!$L:$L,"Passed")</f>
        <v/>
      </c>
      <c r="G148" s="15">
        <f>COUNTIFS(Cases!$C:$C,A148,Cases!$L:$L,"Failed")</f>
        <v/>
      </c>
      <c r="H148" s="15">
        <f>COUNTIFS(Cases!$C:$C,A148,Cases!$L:$L,"Blocked")</f>
        <v/>
      </c>
      <c r="I148" s="15">
        <f>COUNTIFS(Cases!$C:$C,A148,Cases!$L:$L,"Not executed")</f>
        <v/>
      </c>
    </row>
    <row r="149">
      <c r="A149" s="15" t="inlineStr">
        <is>
          <t>TC-148</t>
        </is>
      </c>
      <c r="B149" s="15" t="inlineStr">
        <is>
          <t>TS-51</t>
        </is>
      </c>
      <c r="C149" s="16" t="inlineStr">
        <is>
          <t>INT – Integration and end-of-day</t>
        </is>
      </c>
      <c r="D149" s="16" t="inlineStr">
        <is>
          <t>Inbound calls require the API key (SHA-256 compared); interface disabled without a key</t>
        </is>
      </c>
      <c r="E149" s="15">
        <f>COUNTIF(Cases!$C:$C,A149)</f>
        <v/>
      </c>
      <c r="F149" s="15">
        <f>COUNTIFS(Cases!$C:$C,A149,Cases!$L:$L,"Passed")</f>
        <v/>
      </c>
      <c r="G149" s="15">
        <f>COUNTIFS(Cases!$C:$C,A149,Cases!$L:$L,"Failed")</f>
        <v/>
      </c>
      <c r="H149" s="15">
        <f>COUNTIFS(Cases!$C:$C,A149,Cases!$L:$L,"Blocked")</f>
        <v/>
      </c>
      <c r="I149" s="15">
        <f>COUNTIFS(Cases!$C:$C,A149,Cases!$L:$L,"Not executed")</f>
        <v/>
      </c>
    </row>
    <row r="150">
      <c r="A150" s="15" t="inlineStr">
        <is>
          <t>TC-149</t>
        </is>
      </c>
      <c r="B150" s="15" t="inlineStr">
        <is>
          <t>TS-51</t>
        </is>
      </c>
      <c r="C150" s="16" t="inlineStr">
        <is>
          <t>INT – Integration and end-of-day</t>
        </is>
      </c>
      <c r="D150" s="16" t="inlineStr">
        <is>
          <t>Inbound agent status synchronisation validates the agent code and status; commission paid updates validated</t>
        </is>
      </c>
      <c r="E150" s="15">
        <f>COUNTIF(Cases!$C:$C,A150)</f>
        <v/>
      </c>
      <c r="F150" s="15">
        <f>COUNTIFS(Cases!$C:$C,A150,Cases!$L:$L,"Passed")</f>
        <v/>
      </c>
      <c r="G150" s="15">
        <f>COUNTIFS(Cases!$C:$C,A150,Cases!$L:$L,"Failed")</f>
        <v/>
      </c>
      <c r="H150" s="15">
        <f>COUNTIFS(Cases!$C:$C,A150,Cases!$L:$L,"Blocked")</f>
        <v/>
      </c>
      <c r="I150" s="15">
        <f>COUNTIFS(Cases!$C:$C,A150,Cases!$L:$L,"Not executed")</f>
        <v/>
      </c>
    </row>
    <row r="151">
      <c r="A151" s="15" t="inlineStr">
        <is>
          <t>TC-150</t>
        </is>
      </c>
      <c r="B151" s="15" t="inlineStr">
        <is>
          <t>TS-51</t>
        </is>
      </c>
      <c r="C151" s="16" t="inlineStr">
        <is>
          <t>INT – Integration and end-of-day</t>
        </is>
      </c>
      <c r="D151" s="16" t="inlineStr">
        <is>
          <t>Outbound Core messages (agent approved, policy issued) delivered to the live Core endpoint</t>
        </is>
      </c>
      <c r="E151" s="15">
        <f>COUNTIF(Cases!$C:$C,A151)</f>
        <v/>
      </c>
      <c r="F151" s="15">
        <f>COUNTIFS(Cases!$C:$C,A151,Cases!$L:$L,"Passed")</f>
        <v/>
      </c>
      <c r="G151" s="15">
        <f>COUNTIFS(Cases!$C:$C,A151,Cases!$L:$L,"Failed")</f>
        <v/>
      </c>
      <c r="H151" s="15">
        <f>COUNTIFS(Cases!$C:$C,A151,Cases!$L:$L,"Blocked")</f>
        <v/>
      </c>
      <c r="I151" s="15">
        <f>COUNTIFS(Cases!$C:$C,A151,Cases!$L:$L,"Not executed")</f>
        <v/>
      </c>
    </row>
    <row r="152">
      <c r="A152" s="15" t="inlineStr">
        <is>
          <t>TC-151</t>
        </is>
      </c>
      <c r="B152" s="15" t="inlineStr">
        <is>
          <t>TS-52</t>
        </is>
      </c>
      <c r="C152" s="16" t="inlineStr">
        <is>
          <t>INT – Integration and end-of-day</t>
        </is>
      </c>
      <c r="D152" s="16" t="inlineStr">
        <is>
          <t>EOD runs for today or a past date, not the future; only one run at a time; restricted to bo.eod.run</t>
        </is>
      </c>
      <c r="E152" s="15">
        <f>COUNTIF(Cases!$C:$C,A152)</f>
        <v/>
      </c>
      <c r="F152" s="15">
        <f>COUNTIFS(Cases!$C:$C,A152,Cases!$L:$L,"Passed")</f>
        <v/>
      </c>
      <c r="G152" s="15">
        <f>COUNTIFS(Cases!$C:$C,A152,Cases!$L:$L,"Failed")</f>
        <v/>
      </c>
      <c r="H152" s="15">
        <f>COUNTIFS(Cases!$C:$C,A152,Cases!$L:$L,"Blocked")</f>
        <v/>
      </c>
      <c r="I152" s="15">
        <f>COUNTIFS(Cases!$C:$C,A152,Cases!$L:$L,"Not executed")</f>
        <v/>
      </c>
    </row>
    <row r="153">
      <c r="A153" s="15" t="inlineStr">
        <is>
          <t>TC-152</t>
        </is>
      </c>
      <c r="B153" s="15" t="inlineStr">
        <is>
          <t>TS-52</t>
        </is>
      </c>
      <c r="C153" s="16" t="inlineStr">
        <is>
          <t>INT – Integration and end-of-day</t>
        </is>
      </c>
      <c r="D153" s="16" t="inlineStr">
        <is>
          <t>EOD produces the report and the FIN interface file; re-run replaces the revision with a new idempotency key</t>
        </is>
      </c>
      <c r="E153" s="15">
        <f>COUNTIF(Cases!$C:$C,A153)</f>
        <v/>
      </c>
      <c r="F153" s="15">
        <f>COUNTIFS(Cases!$C:$C,A153,Cases!$L:$L,"Passed")</f>
        <v/>
      </c>
      <c r="G153" s="15">
        <f>COUNTIFS(Cases!$C:$C,A153,Cases!$L:$L,"Failed")</f>
        <v/>
      </c>
      <c r="H153" s="15">
        <f>COUNTIFS(Cases!$C:$C,A153,Cases!$L:$L,"Blocked")</f>
        <v/>
      </c>
      <c r="I153" s="15">
        <f>COUNTIFS(Cases!$C:$C,A153,Cases!$L:$L,"Not executed")</f>
        <v/>
      </c>
    </row>
    <row r="154">
      <c r="A154" s="15" t="inlineStr">
        <is>
          <t>TC-153</t>
        </is>
      </c>
      <c r="B154" s="15" t="inlineStr">
        <is>
          <t>TS-52</t>
        </is>
      </c>
      <c r="C154" s="16" t="inlineStr">
        <is>
          <t>INT – Integration and end-of-day</t>
        </is>
      </c>
      <c r="D154" s="16" t="inlineStr">
        <is>
          <t>Reconciliation compares issuance and receipts with FIN and records MATCHED/MISMATCH</t>
        </is>
      </c>
      <c r="E154" s="15">
        <f>COUNTIF(Cases!$C:$C,A154)</f>
        <v/>
      </c>
      <c r="F154" s="15">
        <f>COUNTIFS(Cases!$C:$C,A154,Cases!$L:$L,"Passed")</f>
        <v/>
      </c>
      <c r="G154" s="15">
        <f>COUNTIFS(Cases!$C:$C,A154,Cases!$L:$L,"Failed")</f>
        <v/>
      </c>
      <c r="H154" s="15">
        <f>COUNTIFS(Cases!$C:$C,A154,Cases!$L:$L,"Blocked")</f>
        <v/>
      </c>
      <c r="I154" s="15">
        <f>COUNTIFS(Cases!$C:$C,A154,Cases!$L:$L,"Not executed")</f>
        <v/>
      </c>
    </row>
    <row r="155">
      <c r="A155" s="15" t="inlineStr">
        <is>
          <t>TC-154</t>
        </is>
      </c>
      <c r="B155" s="15" t="inlineStr">
        <is>
          <t>TS-52</t>
        </is>
      </c>
      <c r="C155" s="16" t="inlineStr">
        <is>
          <t>INT – Integration and end-of-day</t>
        </is>
      </c>
      <c r="D155" s="16" t="inlineStr">
        <is>
          <t>Scheduled EOD at the configured time in Brunei time with a job lock</t>
        </is>
      </c>
      <c r="E155" s="15">
        <f>COUNTIF(Cases!$C:$C,A155)</f>
        <v/>
      </c>
      <c r="F155" s="15">
        <f>COUNTIFS(Cases!$C:$C,A155,Cases!$L:$L,"Passed")</f>
        <v/>
      </c>
      <c r="G155" s="15">
        <f>COUNTIFS(Cases!$C:$C,A155,Cases!$L:$L,"Failed")</f>
        <v/>
      </c>
      <c r="H155" s="15">
        <f>COUNTIFS(Cases!$C:$C,A155,Cases!$L:$L,"Blocked")</f>
        <v/>
      </c>
      <c r="I155" s="15">
        <f>COUNTIFS(Cases!$C:$C,A155,Cases!$L:$L,"Not executed")</f>
        <v/>
      </c>
    </row>
    <row r="156">
      <c r="A156" s="15" t="inlineStr">
        <is>
          <t>TC-155</t>
        </is>
      </c>
      <c r="B156" s="15" t="inlineStr">
        <is>
          <t>TS-53</t>
        </is>
      </c>
      <c r="C156" s="16" t="inlineStr">
        <is>
          <t>INT – Integration and end-of-day</t>
        </is>
      </c>
      <c r="D156" s="16" t="inlineStr">
        <is>
          <t>Summary per system with success/failure counts; outbox and log views</t>
        </is>
      </c>
      <c r="E156" s="15">
        <f>COUNTIF(Cases!$C:$C,A156)</f>
        <v/>
      </c>
      <c r="F156" s="15">
        <f>COUNTIFS(Cases!$C:$C,A156,Cases!$L:$L,"Passed")</f>
        <v/>
      </c>
      <c r="G156" s="15">
        <f>COUNTIFS(Cases!$C:$C,A156,Cases!$L:$L,"Failed")</f>
        <v/>
      </c>
      <c r="H156" s="15">
        <f>COUNTIFS(Cases!$C:$C,A156,Cases!$L:$L,"Blocked")</f>
        <v/>
      </c>
      <c r="I156" s="15">
        <f>COUNTIFS(Cases!$C:$C,A156,Cases!$L:$L,"Not executed")</f>
        <v/>
      </c>
    </row>
    <row r="157">
      <c r="A157" s="15" t="inlineStr">
        <is>
          <t>TC-156</t>
        </is>
      </c>
      <c r="B157" s="15" t="inlineStr">
        <is>
          <t>TS-53</t>
        </is>
      </c>
      <c r="C157" s="16" t="inlineStr">
        <is>
          <t>INT – Integration and end-of-day</t>
        </is>
      </c>
      <c r="D157" s="16" t="inlineStr">
        <is>
          <t>Failed messages retried with exponential back-off up to max attempts, then DEAD with an alert; manual retry of failed/dead only</t>
        </is>
      </c>
      <c r="E157" s="15">
        <f>COUNTIF(Cases!$C:$C,A157)</f>
        <v/>
      </c>
      <c r="F157" s="15">
        <f>COUNTIFS(Cases!$C:$C,A157,Cases!$L:$L,"Passed")</f>
        <v/>
      </c>
      <c r="G157" s="15">
        <f>COUNTIFS(Cases!$C:$C,A157,Cases!$L:$L,"Failed")</f>
        <v/>
      </c>
      <c r="H157" s="15">
        <f>COUNTIFS(Cases!$C:$C,A157,Cases!$L:$L,"Blocked")</f>
        <v/>
      </c>
      <c r="I157" s="15">
        <f>COUNTIFS(Cases!$C:$C,A157,Cases!$L:$L,"Not executed")</f>
        <v/>
      </c>
    </row>
    <row r="158">
      <c r="A158" s="15" t="inlineStr">
        <is>
          <t>TC-157</t>
        </is>
      </c>
      <c r="B158" s="15" t="inlineStr">
        <is>
          <t>TS-54</t>
        </is>
      </c>
      <c r="C158" s="16" t="inlineStr">
        <is>
          <t>INT – Integration and end-of-day</t>
        </is>
      </c>
      <c r="D158" s="16" t="inlineStr">
        <is>
          <t>SMTP relay delivers e-mail; SMS gateway delivers SMS; failures logged and retried</t>
        </is>
      </c>
      <c r="E158" s="15">
        <f>COUNTIF(Cases!$C:$C,A158)</f>
        <v/>
      </c>
      <c r="F158" s="15">
        <f>COUNTIFS(Cases!$C:$C,A158,Cases!$L:$L,"Passed")</f>
        <v/>
      </c>
      <c r="G158" s="15">
        <f>COUNTIFS(Cases!$C:$C,A158,Cases!$L:$L,"Failed")</f>
        <v/>
      </c>
      <c r="H158" s="15">
        <f>COUNTIFS(Cases!$C:$C,A158,Cases!$L:$L,"Blocked")</f>
        <v/>
      </c>
      <c r="I158" s="15">
        <f>COUNTIFS(Cases!$C:$C,A158,Cases!$L:$L,"Not executed")</f>
        <v/>
      </c>
    </row>
    <row r="159">
      <c r="A159" s="15" t="inlineStr">
        <is>
          <t>TC-158</t>
        </is>
      </c>
      <c r="B159" s="15" t="inlineStr">
        <is>
          <t>TS-54</t>
        </is>
      </c>
      <c r="C159" s="16" t="inlineStr">
        <is>
          <t>INT – Integration and end-of-day</t>
        </is>
      </c>
      <c r="D159" s="16" t="inlineStr">
        <is>
          <t>External AML service screening in live mode</t>
        </is>
      </c>
      <c r="E159" s="15">
        <f>COUNTIF(Cases!$C:$C,A159)</f>
        <v/>
      </c>
      <c r="F159" s="15">
        <f>COUNTIFS(Cases!$C:$C,A159,Cases!$L:$L,"Passed")</f>
        <v/>
      </c>
      <c r="G159" s="15">
        <f>COUNTIFS(Cases!$C:$C,A159,Cases!$L:$L,"Failed")</f>
        <v/>
      </c>
      <c r="H159" s="15">
        <f>COUNTIFS(Cases!$C:$C,A159,Cases!$L:$L,"Blocked")</f>
        <v/>
      </c>
      <c r="I159" s="15">
        <f>COUNTIFS(Cases!$C:$C,A159,Cases!$L:$L,"Not executed")</f>
        <v/>
      </c>
    </row>
    <row r="160">
      <c r="A160" s="15" t="inlineStr">
        <is>
          <t>TC-159</t>
        </is>
      </c>
      <c r="B160" s="15" t="inlineStr">
        <is>
          <t>TS-54</t>
        </is>
      </c>
      <c r="C160" s="16" t="inlineStr">
        <is>
          <t>INT – Integration and end-of-day</t>
        </is>
      </c>
      <c r="D160" s="16" t="inlineStr">
        <is>
          <t>Core and FIN live endpoints accept the messages; FIN file ingested</t>
        </is>
      </c>
      <c r="E160" s="15">
        <f>COUNTIF(Cases!$C:$C,A160)</f>
        <v/>
      </c>
      <c r="F160" s="15">
        <f>COUNTIFS(Cases!$C:$C,A160,Cases!$L:$L,"Passed")</f>
        <v/>
      </c>
      <c r="G160" s="15">
        <f>COUNTIFS(Cases!$C:$C,A160,Cases!$L:$L,"Failed")</f>
        <v/>
      </c>
      <c r="H160" s="15">
        <f>COUNTIFS(Cases!$C:$C,A160,Cases!$L:$L,"Blocked")</f>
        <v/>
      </c>
      <c r="I160" s="15">
        <f>COUNTIFS(Cases!$C:$C,A160,Cases!$L:$L,"Not executed")</f>
        <v/>
      </c>
    </row>
    <row r="161">
      <c r="A161" s="15" t="inlineStr">
        <is>
          <t>TC-160</t>
        </is>
      </c>
      <c r="B161" s="15" t="inlineStr">
        <is>
          <t>TS-55</t>
        </is>
      </c>
      <c r="C161" s="16" t="inlineStr">
        <is>
          <t>SEC – Application security</t>
        </is>
      </c>
      <c r="D161" s="16" t="inlineStr">
        <is>
          <t>Field encryption AES-256-GCM with random IV, authentication tag and key version; blind index for exact search</t>
        </is>
      </c>
      <c r="E161" s="15">
        <f>COUNTIF(Cases!$C:$C,A161)</f>
        <v/>
      </c>
      <c r="F161" s="15">
        <f>COUNTIFS(Cases!$C:$C,A161,Cases!$L:$L,"Passed")</f>
        <v/>
      </c>
      <c r="G161" s="15">
        <f>COUNTIFS(Cases!$C:$C,A161,Cases!$L:$L,"Failed")</f>
        <v/>
      </c>
      <c r="H161" s="15">
        <f>COUNTIFS(Cases!$C:$C,A161,Cases!$L:$L,"Blocked")</f>
        <v/>
      </c>
      <c r="I161" s="15">
        <f>COUNTIFS(Cases!$C:$C,A161,Cases!$L:$L,"Not executed")</f>
        <v/>
      </c>
    </row>
    <row r="162">
      <c r="A162" s="15" t="inlineStr">
        <is>
          <t>TC-161</t>
        </is>
      </c>
      <c r="B162" s="15" t="inlineStr">
        <is>
          <t>TS-55</t>
        </is>
      </c>
      <c r="C162" s="16" t="inlineStr">
        <is>
          <t>SEC – Application security</t>
        </is>
      </c>
      <c r="D162" s="16" t="inlineStr">
        <is>
          <t>Identification numbers returned masked; no ciphertext, hash or password hash in any response</t>
        </is>
      </c>
      <c r="E162" s="15">
        <f>COUNTIF(Cases!$C:$C,A162)</f>
        <v/>
      </c>
      <c r="F162" s="15">
        <f>COUNTIFS(Cases!$C:$C,A162,Cases!$L:$L,"Passed")</f>
        <v/>
      </c>
      <c r="G162" s="15">
        <f>COUNTIFS(Cases!$C:$C,A162,Cases!$L:$L,"Failed")</f>
        <v/>
      </c>
      <c r="H162" s="15">
        <f>COUNTIFS(Cases!$C:$C,A162,Cases!$L:$L,"Blocked")</f>
        <v/>
      </c>
      <c r="I162" s="15">
        <f>COUNTIFS(Cases!$C:$C,A162,Cases!$L:$L,"Not executed")</f>
        <v/>
      </c>
    </row>
    <row r="163">
      <c r="A163" s="15" t="inlineStr">
        <is>
          <t>TC-162</t>
        </is>
      </c>
      <c r="B163" s="15" t="inlineStr">
        <is>
          <t>TS-55</t>
        </is>
      </c>
      <c r="C163" s="16" t="inlineStr">
        <is>
          <t>SEC – Application security</t>
        </is>
      </c>
      <c r="D163" s="16" t="inlineStr">
        <is>
          <t>HSTS and TLS termination; database and backup encryption in the target environment</t>
        </is>
      </c>
      <c r="E163" s="15">
        <f>COUNTIF(Cases!$C:$C,A163)</f>
        <v/>
      </c>
      <c r="F163" s="15">
        <f>COUNTIFS(Cases!$C:$C,A163,Cases!$L:$L,"Passed")</f>
        <v/>
      </c>
      <c r="G163" s="15">
        <f>COUNTIFS(Cases!$C:$C,A163,Cases!$L:$L,"Failed")</f>
        <v/>
      </c>
      <c r="H163" s="15">
        <f>COUNTIFS(Cases!$C:$C,A163,Cases!$L:$L,"Blocked")</f>
        <v/>
      </c>
      <c r="I163" s="15">
        <f>COUNTIFS(Cases!$C:$C,A163,Cases!$L:$L,"Not executed")</f>
        <v/>
      </c>
    </row>
    <row r="164">
      <c r="A164" s="15" t="inlineStr">
        <is>
          <t>TC-163</t>
        </is>
      </c>
      <c r="B164" s="15" t="inlineStr">
        <is>
          <t>TS-56</t>
        </is>
      </c>
      <c r="C164" s="16" t="inlineStr">
        <is>
          <t>SEC – Application security</t>
        </is>
      </c>
      <c r="D164" s="16" t="inlineStr">
        <is>
          <t>DTO whitelist: unknown properties rejected (mass assignment)</t>
        </is>
      </c>
      <c r="E164" s="15">
        <f>COUNTIF(Cases!$C:$C,A164)</f>
        <v/>
      </c>
      <c r="F164" s="15">
        <f>COUNTIFS(Cases!$C:$C,A164,Cases!$L:$L,"Passed")</f>
        <v/>
      </c>
      <c r="G164" s="15">
        <f>COUNTIFS(Cases!$C:$C,A164,Cases!$L:$L,"Failed")</f>
        <v/>
      </c>
      <c r="H164" s="15">
        <f>COUNTIFS(Cases!$C:$C,A164,Cases!$L:$L,"Blocked")</f>
        <v/>
      </c>
      <c r="I164" s="15">
        <f>COUNTIFS(Cases!$C:$C,A164,Cases!$L:$L,"Not executed")</f>
        <v/>
      </c>
    </row>
    <row r="165">
      <c r="A165" s="15" t="inlineStr">
        <is>
          <t>TC-164</t>
        </is>
      </c>
      <c r="B165" s="15" t="inlineStr">
        <is>
          <t>TS-56</t>
        </is>
      </c>
      <c r="C165" s="16" t="inlineStr">
        <is>
          <t>SEC – Application security</t>
        </is>
      </c>
      <c r="D165" s="16" t="inlineStr">
        <is>
          <t>SQL/NoSQL/template injection payloads in search and sign-in treated as text</t>
        </is>
      </c>
      <c r="E165" s="15">
        <f>COUNTIF(Cases!$C:$C,A165)</f>
        <v/>
      </c>
      <c r="F165" s="15">
        <f>COUNTIFS(Cases!$C:$C,A165,Cases!$L:$L,"Passed")</f>
        <v/>
      </c>
      <c r="G165" s="15">
        <f>COUNTIFS(Cases!$C:$C,A165,Cases!$L:$L,"Failed")</f>
        <v/>
      </c>
      <c r="H165" s="15">
        <f>COUNTIFS(Cases!$C:$C,A165,Cases!$L:$L,"Blocked")</f>
        <v/>
      </c>
      <c r="I165" s="15">
        <f>COUNTIFS(Cases!$C:$C,A165,Cases!$L:$L,"Not executed")</f>
        <v/>
      </c>
    </row>
    <row r="166">
      <c r="A166" s="15" t="inlineStr">
        <is>
          <t>TC-165</t>
        </is>
      </c>
      <c r="B166" s="15" t="inlineStr">
        <is>
          <t>TS-56</t>
        </is>
      </c>
      <c r="C166" s="16" t="inlineStr">
        <is>
          <t>SEC – Application security</t>
        </is>
      </c>
      <c r="D166" s="16" t="inlineStr">
        <is>
          <t>Generic error responses with correlation id; no stack traces; security headers present; framework hidden</t>
        </is>
      </c>
      <c r="E166" s="15">
        <f>COUNTIF(Cases!$C:$C,A166)</f>
        <v/>
      </c>
      <c r="F166" s="15">
        <f>COUNTIFS(Cases!$C:$C,A166,Cases!$L:$L,"Passed")</f>
        <v/>
      </c>
      <c r="G166" s="15">
        <f>COUNTIFS(Cases!$C:$C,A166,Cases!$L:$L,"Failed")</f>
        <v/>
      </c>
      <c r="H166" s="15">
        <f>COUNTIFS(Cases!$C:$C,A166,Cases!$L:$L,"Blocked")</f>
        <v/>
      </c>
      <c r="I166" s="15">
        <f>COUNTIFS(Cases!$C:$C,A166,Cases!$L:$L,"Not executed")</f>
        <v/>
      </c>
    </row>
    <row r="167">
      <c r="A167" s="15" t="inlineStr">
        <is>
          <t>TC-166</t>
        </is>
      </c>
      <c r="B167" s="15" t="inlineStr">
        <is>
          <t>TS-56</t>
        </is>
      </c>
      <c r="C167" s="16" t="inlineStr">
        <is>
          <t>SEC – Application security</t>
        </is>
      </c>
      <c r="D167" s="16" t="inlineStr">
        <is>
          <t>Unguessable e-signature tokens; unknown routes answer a generic 404</t>
        </is>
      </c>
      <c r="E167" s="15">
        <f>COUNTIF(Cases!$C:$C,A167)</f>
        <v/>
      </c>
      <c r="F167" s="15">
        <f>COUNTIFS(Cases!$C:$C,A167,Cases!$L:$L,"Passed")</f>
        <v/>
      </c>
      <c r="G167" s="15">
        <f>COUNTIFS(Cases!$C:$C,A167,Cases!$L:$L,"Failed")</f>
        <v/>
      </c>
      <c r="H167" s="15">
        <f>COUNTIFS(Cases!$C:$C,A167,Cases!$L:$L,"Blocked")</f>
        <v/>
      </c>
      <c r="I167" s="15">
        <f>COUNTIFS(Cases!$C:$C,A167,Cases!$L:$L,"Not executed")</f>
        <v/>
      </c>
    </row>
    <row r="168">
      <c r="A168" s="15" t="inlineStr">
        <is>
          <t>TC-167</t>
        </is>
      </c>
      <c r="B168" s="15" t="inlineStr">
        <is>
          <t>TS-57</t>
        </is>
      </c>
      <c r="C168" s="16" t="inlineStr">
        <is>
          <t>SEC – Application security</t>
        </is>
      </c>
      <c r="D168" s="16" t="inlineStr">
        <is>
          <t>CI pipeline runs CodeQL, gitleaks, npm audit, Trivy and produces an SBOM; build fails on findings</t>
        </is>
      </c>
      <c r="E168" s="15">
        <f>COUNTIF(Cases!$C:$C,A168)</f>
        <v/>
      </c>
      <c r="F168" s="15">
        <f>COUNTIFS(Cases!$C:$C,A168,Cases!$L:$L,"Passed")</f>
        <v/>
      </c>
      <c r="G168" s="15">
        <f>COUNTIFS(Cases!$C:$C,A168,Cases!$L:$L,"Failed")</f>
        <v/>
      </c>
      <c r="H168" s="15">
        <f>COUNTIFS(Cases!$C:$C,A168,Cases!$L:$L,"Blocked")</f>
        <v/>
      </c>
      <c r="I168" s="15">
        <f>COUNTIFS(Cases!$C:$C,A168,Cases!$L:$L,"Not executed")</f>
        <v/>
      </c>
    </row>
    <row r="169">
      <c r="A169" s="15" t="inlineStr">
        <is>
          <t>TC-168</t>
        </is>
      </c>
      <c r="B169" s="15" t="inlineStr">
        <is>
          <t>TS-57</t>
        </is>
      </c>
      <c r="C169" s="16" t="inlineStr">
        <is>
          <t>SEC – Application security</t>
        </is>
      </c>
      <c r="D169" s="16" t="inlineStr">
        <is>
          <t>OWASP Top 10 check script passes before each release</t>
        </is>
      </c>
      <c r="E169" s="15">
        <f>COUNTIF(Cases!$C:$C,A169)</f>
        <v/>
      </c>
      <c r="F169" s="15">
        <f>COUNTIFS(Cases!$C:$C,A169,Cases!$L:$L,"Passed")</f>
        <v/>
      </c>
      <c r="G169" s="15">
        <f>COUNTIFS(Cases!$C:$C,A169,Cases!$L:$L,"Failed")</f>
        <v/>
      </c>
      <c r="H169" s="15">
        <f>COUNTIFS(Cases!$C:$C,A169,Cases!$L:$L,"Blocked")</f>
        <v/>
      </c>
      <c r="I169" s="15">
        <f>COUNTIFS(Cases!$C:$C,A169,Cases!$L:$L,"Not executed")</f>
        <v/>
      </c>
    </row>
    <row r="170">
      <c r="A170" s="15" t="inlineStr">
        <is>
          <t>TC-169</t>
        </is>
      </c>
      <c r="B170" s="15" t="inlineStr">
        <is>
          <t>TS-57</t>
        </is>
      </c>
      <c r="C170" s="16" t="inlineStr">
        <is>
          <t>SEC – Application security</t>
        </is>
      </c>
      <c r="D170" s="16" t="inlineStr">
        <is>
          <t>Independent VAPT and re-test with no open Critical/High findings</t>
        </is>
      </c>
      <c r="E170" s="15">
        <f>COUNTIF(Cases!$C:$C,A170)</f>
        <v/>
      </c>
      <c r="F170" s="15">
        <f>COUNTIFS(Cases!$C:$C,A170,Cases!$L:$L,"Passed")</f>
        <v/>
      </c>
      <c r="G170" s="15">
        <f>COUNTIFS(Cases!$C:$C,A170,Cases!$L:$L,"Failed")</f>
        <v/>
      </c>
      <c r="H170" s="15">
        <f>COUNTIFS(Cases!$C:$C,A170,Cases!$L:$L,"Blocked")</f>
        <v/>
      </c>
      <c r="I170" s="15">
        <f>COUNTIFS(Cases!$C:$C,A170,Cases!$L:$L,"Not executed")</f>
        <v/>
      </c>
    </row>
    <row r="171">
      <c r="A171" s="15" t="inlineStr">
        <is>
          <t>TC-170</t>
        </is>
      </c>
      <c r="B171" s="15" t="inlineStr">
        <is>
          <t>TS-58</t>
        </is>
      </c>
      <c r="C171" s="16" t="inlineStr">
        <is>
          <t>SEC – Application security</t>
        </is>
      </c>
      <c r="D171" s="16" t="inlineStr">
        <is>
          <t>Second factor required for back-office sign-in</t>
        </is>
      </c>
      <c r="E171" s="15">
        <f>COUNTIF(Cases!$C:$C,A171)</f>
        <v/>
      </c>
      <c r="F171" s="15">
        <f>COUNTIFS(Cases!$C:$C,A171,Cases!$L:$L,"Passed")</f>
        <v/>
      </c>
      <c r="G171" s="15">
        <f>COUNTIFS(Cases!$C:$C,A171,Cases!$L:$L,"Failed")</f>
        <v/>
      </c>
      <c r="H171" s="15">
        <f>COUNTIFS(Cases!$C:$C,A171,Cases!$L:$L,"Blocked")</f>
        <v/>
      </c>
      <c r="I171" s="15">
        <f>COUNTIFS(Cases!$C:$C,A171,Cases!$L:$L,"Not executed")</f>
        <v/>
      </c>
    </row>
    <row r="172">
      <c r="A172" s="15" t="inlineStr">
        <is>
          <t>TC-171</t>
        </is>
      </c>
      <c r="B172" s="15" t="inlineStr">
        <is>
          <t>TS-59</t>
        </is>
      </c>
      <c r="C172" s="16" t="inlineStr">
        <is>
          <t>NFR – Non-functional: performance, availability, DR, usability</t>
        </is>
      </c>
      <c r="D172" s="16" t="inlineStr">
        <is>
          <t>Response time: p95 under 2 s for normal transactions at 100 concurrent users</t>
        </is>
      </c>
      <c r="E172" s="15">
        <f>COUNTIF(Cases!$C:$C,A172)</f>
        <v/>
      </c>
      <c r="F172" s="15">
        <f>COUNTIFS(Cases!$C:$C,A172,Cases!$L:$L,"Passed")</f>
        <v/>
      </c>
      <c r="G172" s="15">
        <f>COUNTIFS(Cases!$C:$C,A172,Cases!$L:$L,"Failed")</f>
        <v/>
      </c>
      <c r="H172" s="15">
        <f>COUNTIFS(Cases!$C:$C,A172,Cases!$L:$L,"Blocked")</f>
        <v/>
      </c>
      <c r="I172" s="15">
        <f>COUNTIFS(Cases!$C:$C,A172,Cases!$L:$L,"Not executed")</f>
        <v/>
      </c>
    </row>
    <row r="173">
      <c r="A173" s="15" t="inlineStr">
        <is>
          <t>TC-172</t>
        </is>
      </c>
      <c r="B173" s="15" t="inlineStr">
        <is>
          <t>TS-59</t>
        </is>
      </c>
      <c r="C173" s="16" t="inlineStr">
        <is>
          <t>NFR – Non-functional: performance, availability, DR, usability</t>
        </is>
      </c>
      <c r="D173" s="16" t="inlineStr">
        <is>
          <t>Throughput and volume: daily issuance peak and five-year data growth without degradation</t>
        </is>
      </c>
      <c r="E173" s="15">
        <f>COUNTIF(Cases!$C:$C,A173)</f>
        <v/>
      </c>
      <c r="F173" s="15">
        <f>COUNTIFS(Cases!$C:$C,A173,Cases!$L:$L,"Passed")</f>
        <v/>
      </c>
      <c r="G173" s="15">
        <f>COUNTIFS(Cases!$C:$C,A173,Cases!$L:$L,"Failed")</f>
        <v/>
      </c>
      <c r="H173" s="15">
        <f>COUNTIFS(Cases!$C:$C,A173,Cases!$L:$L,"Blocked")</f>
        <v/>
      </c>
      <c r="I173" s="15">
        <f>COUNTIFS(Cases!$C:$C,A173,Cases!$L:$L,"Not executed")</f>
        <v/>
      </c>
    </row>
    <row r="174">
      <c r="A174" s="15" t="inlineStr">
        <is>
          <t>TC-173</t>
        </is>
      </c>
      <c r="B174" s="15" t="inlineStr">
        <is>
          <t>TS-59</t>
        </is>
      </c>
      <c r="C174" s="16" t="inlineStr">
        <is>
          <t>NFR – Non-functional: performance, availability, DR, usability</t>
        </is>
      </c>
      <c r="D174" s="16" t="inlineStr">
        <is>
          <t>Soak test over 8 hours without memory growth or error increase</t>
        </is>
      </c>
      <c r="E174" s="15">
        <f>COUNTIF(Cases!$C:$C,A174)</f>
        <v/>
      </c>
      <c r="F174" s="15">
        <f>COUNTIFS(Cases!$C:$C,A174,Cases!$L:$L,"Passed")</f>
        <v/>
      </c>
      <c r="G174" s="15">
        <f>COUNTIFS(Cases!$C:$C,A174,Cases!$L:$L,"Failed")</f>
        <v/>
      </c>
      <c r="H174" s="15">
        <f>COUNTIFS(Cases!$C:$C,A174,Cases!$L:$L,"Blocked")</f>
        <v/>
      </c>
      <c r="I174" s="15">
        <f>COUNTIFS(Cases!$C:$C,A174,Cases!$L:$L,"Not executed")</f>
        <v/>
      </c>
    </row>
    <row r="175">
      <c r="A175" s="15" t="inlineStr">
        <is>
          <t>TC-174</t>
        </is>
      </c>
      <c r="B175" s="15" t="inlineStr">
        <is>
          <t>TS-60</t>
        </is>
      </c>
      <c r="C175" s="16" t="inlineStr">
        <is>
          <t>NFR – Non-functional: performance, availability, DR, usability</t>
        </is>
      </c>
      <c r="D175" s="16" t="inlineStr">
        <is>
          <t>Health/readiness endpoints and metrics; alerts for API down, error rate, latency, EOD failure, dead letters</t>
        </is>
      </c>
      <c r="E175" s="15">
        <f>COUNTIF(Cases!$C:$C,A175)</f>
        <v/>
      </c>
      <c r="F175" s="15">
        <f>COUNTIFS(Cases!$C:$C,A175,Cases!$L:$L,"Passed")</f>
        <v/>
      </c>
      <c r="G175" s="15">
        <f>COUNTIFS(Cases!$C:$C,A175,Cases!$L:$L,"Failed")</f>
        <v/>
      </c>
      <c r="H175" s="15">
        <f>COUNTIFS(Cases!$C:$C,A175,Cases!$L:$L,"Blocked")</f>
        <v/>
      </c>
      <c r="I175" s="15">
        <f>COUNTIFS(Cases!$C:$C,A175,Cases!$L:$L,"Not executed")</f>
        <v/>
      </c>
    </row>
    <row r="176">
      <c r="A176" s="15" t="inlineStr">
        <is>
          <t>TC-175</t>
        </is>
      </c>
      <c r="B176" s="15" t="inlineStr">
        <is>
          <t>TS-60</t>
        </is>
      </c>
      <c r="C176" s="16" t="inlineStr">
        <is>
          <t>NFR – Non-functional: performance, availability, DR, usability</t>
        </is>
      </c>
      <c r="D176" s="16" t="inlineStr">
        <is>
          <t>Failure of one application instance and failover to the standby database without data loss</t>
        </is>
      </c>
      <c r="E176" s="15">
        <f>COUNTIF(Cases!$C:$C,A176)</f>
        <v/>
      </c>
      <c r="F176" s="15">
        <f>COUNTIFS(Cases!$C:$C,A176,Cases!$L:$L,"Passed")</f>
        <v/>
      </c>
      <c r="G176" s="15">
        <f>COUNTIFS(Cases!$C:$C,A176,Cases!$L:$L,"Failed")</f>
        <v/>
      </c>
      <c r="H176" s="15">
        <f>COUNTIFS(Cases!$C:$C,A176,Cases!$L:$L,"Blocked")</f>
        <v/>
      </c>
      <c r="I176" s="15">
        <f>COUNTIFS(Cases!$C:$C,A176,Cases!$L:$L,"Not executed")</f>
        <v/>
      </c>
    </row>
    <row r="177">
      <c r="A177" s="15" t="inlineStr">
        <is>
          <t>TC-176</t>
        </is>
      </c>
      <c r="B177" s="15" t="inlineStr">
        <is>
          <t>TS-61</t>
        </is>
      </c>
      <c r="C177" s="16" t="inlineStr">
        <is>
          <t>NFR – Non-functional: performance, availability, DR, usability</t>
        </is>
      </c>
      <c r="D177" s="16" t="inlineStr">
        <is>
          <t>Daily backups with retention; restore drill verified</t>
        </is>
      </c>
      <c r="E177" s="15">
        <f>COUNTIF(Cases!$C:$C,A177)</f>
        <v/>
      </c>
      <c r="F177" s="15">
        <f>COUNTIFS(Cases!$C:$C,A177,Cases!$L:$L,"Passed")</f>
        <v/>
      </c>
      <c r="G177" s="15">
        <f>COUNTIFS(Cases!$C:$C,A177,Cases!$L:$L,"Failed")</f>
        <v/>
      </c>
      <c r="H177" s="15">
        <f>COUNTIFS(Cases!$C:$C,A177,Cases!$L:$L,"Blocked")</f>
        <v/>
      </c>
      <c r="I177" s="15">
        <f>COUNTIFS(Cases!$C:$C,A177,Cases!$L:$L,"Not executed")</f>
        <v/>
      </c>
    </row>
    <row r="178">
      <c r="A178" s="15" t="inlineStr">
        <is>
          <t>TC-177</t>
        </is>
      </c>
      <c r="B178" s="15" t="inlineStr">
        <is>
          <t>TS-61</t>
        </is>
      </c>
      <c r="C178" s="16" t="inlineStr">
        <is>
          <t>NFR – Non-functional: performance, availability, DR, usability</t>
        </is>
      </c>
      <c r="D178" s="16" t="inlineStr">
        <is>
          <t>DR failover within RTO 4 h and RPO 15 min, documented</t>
        </is>
      </c>
      <c r="E178" s="15">
        <f>COUNTIF(Cases!$C:$C,A178)</f>
        <v/>
      </c>
      <c r="F178" s="15">
        <f>COUNTIFS(Cases!$C:$C,A178,Cases!$L:$L,"Passed")</f>
        <v/>
      </c>
      <c r="G178" s="15">
        <f>COUNTIFS(Cases!$C:$C,A178,Cases!$L:$L,"Failed")</f>
        <v/>
      </c>
      <c r="H178" s="15">
        <f>COUNTIFS(Cases!$C:$C,A178,Cases!$L:$L,"Blocked")</f>
        <v/>
      </c>
      <c r="I178" s="15">
        <f>COUNTIFS(Cases!$C:$C,A178,Cases!$L:$L,"Not executed")</f>
        <v/>
      </c>
    </row>
    <row r="179">
      <c r="A179" s="15" t="inlineStr">
        <is>
          <t>TC-178</t>
        </is>
      </c>
      <c r="B179" s="15" t="inlineStr">
        <is>
          <t>TS-62</t>
        </is>
      </c>
      <c r="C179" s="16" t="inlineStr">
        <is>
          <t>NFR – Non-functional: performance, availability, DR, usability</t>
        </is>
      </c>
      <c r="D179" s="16" t="inlineStr">
        <is>
          <t>Supported browsers and screen widths (desktop and 390 px mobile)</t>
        </is>
      </c>
      <c r="E179" s="15">
        <f>COUNTIF(Cases!$C:$C,A179)</f>
        <v/>
      </c>
      <c r="F179" s="15">
        <f>COUNTIFS(Cases!$C:$C,A179,Cases!$L:$L,"Passed")</f>
        <v/>
      </c>
      <c r="G179" s="15">
        <f>COUNTIFS(Cases!$C:$C,A179,Cases!$L:$L,"Failed")</f>
        <v/>
      </c>
      <c r="H179" s="15">
        <f>COUNTIFS(Cases!$C:$C,A179,Cases!$L:$L,"Blocked")</f>
        <v/>
      </c>
      <c r="I179" s="15">
        <f>COUNTIFS(Cases!$C:$C,A179,Cases!$L:$L,"Not executed")</f>
        <v/>
      </c>
    </row>
    <row r="180">
      <c r="A180" s="15" t="inlineStr">
        <is>
          <t>TC-179</t>
        </is>
      </c>
      <c r="B180" s="15" t="inlineStr">
        <is>
          <t>TS-62</t>
        </is>
      </c>
      <c r="C180" s="16" t="inlineStr">
        <is>
          <t>NFR – Non-functional: performance, availability, DR, usability</t>
        </is>
      </c>
      <c r="D180" s="16" t="inlineStr">
        <is>
          <t>Accessibility basics: keyboard navigation, labels, contrast, focus order</t>
        </is>
      </c>
      <c r="E180" s="15">
        <f>COUNTIF(Cases!$C:$C,A180)</f>
        <v/>
      </c>
      <c r="F180" s="15">
        <f>COUNTIFS(Cases!$C:$C,A180,Cases!$L:$L,"Passed")</f>
        <v/>
      </c>
      <c r="G180" s="15">
        <f>COUNTIFS(Cases!$C:$C,A180,Cases!$L:$L,"Failed")</f>
        <v/>
      </c>
      <c r="H180" s="15">
        <f>COUNTIFS(Cases!$C:$C,A180,Cases!$L:$L,"Blocked")</f>
        <v/>
      </c>
      <c r="I180" s="15">
        <f>COUNTIFS(Cases!$C:$C,A180,Cases!$L:$L,"Not executed")</f>
        <v/>
      </c>
    </row>
    <row r="181">
      <c r="A181" s="15" t="inlineStr">
        <is>
          <t>TC-180</t>
        </is>
      </c>
      <c r="B181" s="15" t="inlineStr">
        <is>
          <t>TS-62</t>
        </is>
      </c>
      <c r="C181" s="16" t="inlineStr">
        <is>
          <t>NFR – Non-functional: performance, availability, DR, usability</t>
        </is>
      </c>
      <c r="D181" s="16" t="inlineStr">
        <is>
          <t>Consistent navigation, menus and status presentation</t>
        </is>
      </c>
      <c r="E181" s="15">
        <f>COUNTIF(Cases!$C:$C,A181)</f>
        <v/>
      </c>
      <c r="F181" s="15">
        <f>COUNTIFS(Cases!$C:$C,A181,Cases!$L:$L,"Passed")</f>
        <v/>
      </c>
      <c r="G181" s="15">
        <f>COUNTIFS(Cases!$C:$C,A181,Cases!$L:$L,"Failed")</f>
        <v/>
      </c>
      <c r="H181" s="15">
        <f>COUNTIFS(Cases!$C:$C,A181,Cases!$L:$L,"Blocked")</f>
        <v/>
      </c>
      <c r="I181" s="15">
        <f>COUNTIFS(Cases!$C:$C,A181,Cases!$L:$L,"Not executed")</f>
        <v/>
      </c>
    </row>
    <row r="182">
      <c r="A182" s="15" t="inlineStr">
        <is>
          <t>TC-181</t>
        </is>
      </c>
      <c r="B182" s="15" t="inlineStr">
        <is>
          <t>TS-63</t>
        </is>
      </c>
      <c r="C182" s="16" t="inlineStr">
        <is>
          <t>NFR – Non-functional: performance, availability, DR, usability</t>
        </is>
      </c>
      <c r="D182" s="16" t="inlineStr">
        <is>
          <t>Issuance, receipt, audit and outbox commit atomically; numbering sequences without duplicates</t>
        </is>
      </c>
      <c r="E182" s="15">
        <f>COUNTIF(Cases!$C:$C,A182)</f>
        <v/>
      </c>
      <c r="F182" s="15">
        <f>COUNTIFS(Cases!$C:$C,A182,Cases!$L:$L,"Passed")</f>
        <v/>
      </c>
      <c r="G182" s="15">
        <f>COUNTIFS(Cases!$C:$C,A182,Cases!$L:$L,"Failed")</f>
        <v/>
      </c>
      <c r="H182" s="15">
        <f>COUNTIFS(Cases!$C:$C,A182,Cases!$L:$L,"Blocked")</f>
        <v/>
      </c>
      <c r="I182" s="15">
        <f>COUNTIFS(Cases!$C:$C,A182,Cases!$L:$L,"Not executed")</f>
        <v/>
      </c>
    </row>
    <row r="183">
      <c r="A183" s="15" t="inlineStr">
        <is>
          <t>TC-182</t>
        </is>
      </c>
      <c r="B183" s="15" t="inlineStr">
        <is>
          <t>TS-63</t>
        </is>
      </c>
      <c r="C183" s="16" t="inlineStr">
        <is>
          <t>NFR – Non-functional: performance, availability, DR, usability</t>
        </is>
      </c>
      <c r="D183" s="16" t="inlineStr">
        <is>
          <t>Concurrent edits refused with STALE_RECORD (409)</t>
        </is>
      </c>
      <c r="E183" s="15">
        <f>COUNTIF(Cases!$C:$C,A183)</f>
        <v/>
      </c>
      <c r="F183" s="15">
        <f>COUNTIFS(Cases!$C:$C,A183,Cases!$L:$L,"Passed")</f>
        <v/>
      </c>
      <c r="G183" s="15">
        <f>COUNTIFS(Cases!$C:$C,A183,Cases!$L:$L,"Failed")</f>
        <v/>
      </c>
      <c r="H183" s="15">
        <f>COUNTIFS(Cases!$C:$C,A183,Cases!$L:$L,"Blocked")</f>
        <v/>
      </c>
      <c r="I183" s="15">
        <f>COUNTIFS(Cases!$C:$C,A183,Cases!$L:$L,"Not executed")</f>
        <v/>
      </c>
    </row>
    <row r="184">
      <c r="A184" s="15" t="inlineStr">
        <is>
          <t>TC-183</t>
        </is>
      </c>
      <c r="B184" s="15" t="inlineStr">
        <is>
          <t>TS-64</t>
        </is>
      </c>
      <c r="C184" s="16" t="inlineStr">
        <is>
          <t>NFR – Non-functional: performance, availability, DR, usability</t>
        </is>
      </c>
      <c r="D184" s="16" t="inlineStr">
        <is>
          <t>OpenAPI 3 document describes every operation; JSON error format documented</t>
        </is>
      </c>
      <c r="E184" s="15">
        <f>COUNTIF(Cases!$C:$C,A184)</f>
        <v/>
      </c>
      <c r="F184" s="15">
        <f>COUNTIFS(Cases!$C:$C,A184,Cases!$L:$L,"Passed")</f>
        <v/>
      </c>
      <c r="G184" s="15">
        <f>COUNTIFS(Cases!$C:$C,A184,Cases!$L:$L,"Failed")</f>
        <v/>
      </c>
      <c r="H184" s="15">
        <f>COUNTIFS(Cases!$C:$C,A184,Cases!$L:$L,"Blocked")</f>
        <v/>
      </c>
      <c r="I184" s="15">
        <f>COUNTIFS(Cases!$C:$C,A184,Cases!$L:$L,"Not executed")</f>
        <v/>
      </c>
    </row>
    <row r="185">
      <c r="A185" s="15" t="inlineStr">
        <is>
          <t>TC-184</t>
        </is>
      </c>
      <c r="B185" s="15" t="inlineStr">
        <is>
          <t>TS-65</t>
        </is>
      </c>
      <c r="C185" s="16" t="inlineStr">
        <is>
          <t>NFR – Non-functional: performance, availability, DR, usability</t>
        </is>
      </c>
      <c r="D185" s="16" t="inlineStr">
        <is>
          <t>Retention and archival per agreed policy; global search</t>
        </is>
      </c>
      <c r="E185" s="15">
        <f>COUNTIF(Cases!$C:$C,A185)</f>
        <v/>
      </c>
      <c r="F185" s="15">
        <f>COUNTIFS(Cases!$C:$C,A185,Cases!$L:$L,"Passed")</f>
        <v/>
      </c>
      <c r="G185" s="15">
        <f>COUNTIFS(Cases!$C:$C,A185,Cases!$L:$L,"Failed")</f>
        <v/>
      </c>
      <c r="H185" s="15">
        <f>COUNTIFS(Cases!$C:$C,A185,Cases!$L:$L,"Blocked")</f>
        <v/>
      </c>
      <c r="I185" s="15">
        <f>COUNTIFS(Cases!$C:$C,A185,Cases!$L:$L,"Not executed")</f>
        <v/>
      </c>
    </row>
    <row r="186">
      <c r="A186" s="15" t="inlineStr">
        <is>
          <t>TC-185</t>
        </is>
      </c>
      <c r="B186" s="15" t="inlineStr">
        <is>
          <t>TS-66</t>
        </is>
      </c>
      <c r="C186" s="16" t="inlineStr">
        <is>
          <t>NFR – Non-functional: performance, availability, DR, usability</t>
        </is>
      </c>
      <c r="D186" s="16" t="inlineStr">
        <is>
          <t>Migration dry-runs reconcile counts and control totals</t>
        </is>
      </c>
      <c r="E186" s="15">
        <f>COUNTIF(Cases!$C:$C,A186)</f>
        <v/>
      </c>
      <c r="F186" s="15">
        <f>COUNTIFS(Cases!$C:$C,A186,Cases!$L:$L,"Passed")</f>
        <v/>
      </c>
      <c r="G186" s="15">
        <f>COUNTIFS(Cases!$C:$C,A186,Cases!$L:$L,"Failed")</f>
        <v/>
      </c>
      <c r="H186" s="15">
        <f>COUNTIFS(Cases!$C:$C,A186,Cases!$L:$L,"Blocked")</f>
        <v/>
      </c>
      <c r="I186" s="15">
        <f>COUNTIFS(Cases!$C:$C,A186,Cases!$L:$L,"Not executed")</f>
        <v/>
      </c>
    </row>
    <row r="187">
      <c r="A187" s="15" t="inlineStr">
        <is>
          <t>TC-186</t>
        </is>
      </c>
      <c r="B187" s="15" t="inlineStr">
        <is>
          <t>TS-67</t>
        </is>
      </c>
      <c r="C187" s="16" t="inlineStr">
        <is>
          <t>NFR – Non-functional: performance, availability, DR, usability</t>
        </is>
      </c>
      <c r="D187" s="16" t="inlineStr">
        <is>
          <t>UAT scripts per product and role executed and signed off by IIFT</t>
        </is>
      </c>
      <c r="E187" s="15">
        <f>COUNTIF(Cases!$C:$C,A187)</f>
        <v/>
      </c>
      <c r="F187" s="15">
        <f>COUNTIFS(Cases!$C:$C,A187,Cases!$L:$L,"Passed")</f>
        <v/>
      </c>
      <c r="G187" s="15">
        <f>COUNTIFS(Cases!$C:$C,A187,Cases!$L:$L,"Failed")</f>
        <v/>
      </c>
      <c r="H187" s="15">
        <f>COUNTIFS(Cases!$C:$C,A187,Cases!$L:$L,"Blocked")</f>
        <v/>
      </c>
      <c r="I187" s="15">
        <f>COUNTIFS(Cases!$C:$C,A187,Cases!$L:$L,"Not executed")</f>
        <v/>
      </c>
    </row>
    <row r="188">
      <c r="A188" s="15" t="inlineStr">
        <is>
          <t>TC-187</t>
        </is>
      </c>
      <c r="B188" s="15" t="inlineStr">
        <is>
          <t>TS-68</t>
        </is>
      </c>
      <c r="C188" s="16" t="inlineStr">
        <is>
          <t>NFR – Non-functional: performance, availability, DR, usability</t>
        </is>
      </c>
      <c r="D188" s="16" t="inlineStr">
        <is>
          <t>Deployment rehearsal, rollback and go-live checklist</t>
        </is>
      </c>
      <c r="E188" s="15">
        <f>COUNTIF(Cases!$C:$C,A188)</f>
        <v/>
      </c>
      <c r="F188" s="15">
        <f>COUNTIFS(Cases!$C:$C,A188,Cases!$L:$L,"Passed")</f>
        <v/>
      </c>
      <c r="G188" s="15">
        <f>COUNTIFS(Cases!$C:$C,A188,Cases!$L:$L,"Failed")</f>
        <v/>
      </c>
      <c r="H188" s="15">
        <f>COUNTIFS(Cases!$C:$C,A188,Cases!$L:$L,"Blocked")</f>
        <v/>
      </c>
      <c r="I188" s="15">
        <f>COUNTIFS(Cases!$C:$C,A188,Cases!$L:$L,"Not executed")</f>
        <v/>
      </c>
    </row>
    <row r="189">
      <c r="A189" s="15" t="inlineStr">
        <is>
          <t>TC-188</t>
        </is>
      </c>
      <c r="B189" s="15" t="inlineStr">
        <is>
          <t>TS-69</t>
        </is>
      </c>
      <c r="C189" s="16" t="inlineStr">
        <is>
          <t>PLT – Platform behaviour and configuration</t>
        </is>
      </c>
      <c r="D189" s="16" t="inlineStr">
        <is>
          <t>Start-up refuses missing or weak secrets and insecure production settings</t>
        </is>
      </c>
      <c r="E189" s="15">
        <f>COUNTIF(Cases!$C:$C,A189)</f>
        <v/>
      </c>
      <c r="F189" s="15">
        <f>COUNTIFS(Cases!$C:$C,A189,Cases!$L:$L,"Passed")</f>
        <v/>
      </c>
      <c r="G189" s="15">
        <f>COUNTIFS(Cases!$C:$C,A189,Cases!$L:$L,"Failed")</f>
        <v/>
      </c>
      <c r="H189" s="15">
        <f>COUNTIFS(Cases!$C:$C,A189,Cases!$L:$L,"Blocked")</f>
        <v/>
      </c>
      <c r="I189" s="15">
        <f>COUNTIFS(Cases!$C:$C,A189,Cases!$L:$L,"Not executed")</f>
        <v/>
      </c>
    </row>
    <row r="190">
      <c r="A190" s="15" t="inlineStr">
        <is>
          <t>TC-189</t>
        </is>
      </c>
      <c r="B190" s="15" t="inlineStr">
        <is>
          <t>TS-69</t>
        </is>
      </c>
      <c r="C190" s="16" t="inlineStr">
        <is>
          <t>PLT – Platform behaviour and configuration</t>
        </is>
      </c>
      <c r="D190" s="16" t="inlineStr">
        <is>
          <t>Business date is the Brunei calendar day; date helpers correct</t>
        </is>
      </c>
      <c r="E190" s="15">
        <f>COUNTIF(Cases!$C:$C,A190)</f>
        <v/>
      </c>
      <c r="F190" s="15">
        <f>COUNTIFS(Cases!$C:$C,A190,Cases!$L:$L,"Passed")</f>
        <v/>
      </c>
      <c r="G190" s="15">
        <f>COUNTIFS(Cases!$C:$C,A190,Cases!$L:$L,"Failed")</f>
        <v/>
      </c>
      <c r="H190" s="15">
        <f>COUNTIFS(Cases!$C:$C,A190,Cases!$L:$L,"Blocked")</f>
        <v/>
      </c>
      <c r="I190" s="15">
        <f>COUNTIFS(Cases!$C:$C,A190,Cases!$L:$L,"Not executed")</f>
        <v/>
      </c>
    </row>
    <row r="191">
      <c r="A191" s="15" t="inlineStr">
        <is>
          <t>TC-190</t>
        </is>
      </c>
      <c r="B191" s="15" t="inlineStr">
        <is>
          <t>TS-69</t>
        </is>
      </c>
      <c r="C191" s="16" t="inlineStr">
        <is>
          <t>PLT – Platform behaviour and configuration</t>
        </is>
      </c>
      <c r="D191" s="16" t="inlineStr">
        <is>
          <t>Health, readiness and API documentation switch</t>
        </is>
      </c>
      <c r="E191" s="15">
        <f>COUNTIF(Cases!$C:$C,A191)</f>
        <v/>
      </c>
      <c r="F191" s="15">
        <f>COUNTIFS(Cases!$C:$C,A191,Cases!$L:$L,"Passed")</f>
        <v/>
      </c>
      <c r="G191" s="15">
        <f>COUNTIFS(Cases!$C:$C,A191,Cases!$L:$L,"Failed")</f>
        <v/>
      </c>
      <c r="H191" s="15">
        <f>COUNTIFS(Cases!$C:$C,A191,Cases!$L:$L,"Blocked")</f>
        <v/>
      </c>
      <c r="I191" s="15">
        <f>COUNTIFS(Cases!$C:$C,A191,Cases!$L:$L,"Not executed")</f>
        <v/>
      </c>
    </row>
    <row r="192">
      <c r="A192" s="15" t="inlineStr">
        <is>
          <t>TC-191</t>
        </is>
      </c>
      <c r="B192" s="15" t="inlineStr">
        <is>
          <t>TS-70</t>
        </is>
      </c>
      <c r="C192" s="16" t="inlineStr">
        <is>
          <t>PLT – Platform behaviour and configuration</t>
        </is>
      </c>
      <c r="D192" s="16" t="inlineStr">
        <is>
          <t>API client sends the CSRF token on writes, handles 401 as session end, uploads as form data</t>
        </is>
      </c>
      <c r="E192" s="15">
        <f>COUNTIF(Cases!$C:$C,A192)</f>
        <v/>
      </c>
      <c r="F192" s="15">
        <f>COUNTIFS(Cases!$C:$C,A192,Cases!$L:$L,"Passed")</f>
        <v/>
      </c>
      <c r="G192" s="15">
        <f>COUNTIFS(Cases!$C:$C,A192,Cases!$L:$L,"Failed")</f>
        <v/>
      </c>
      <c r="H192" s="15">
        <f>COUNTIFS(Cases!$C:$C,A192,Cases!$L:$L,"Blocked")</f>
        <v/>
      </c>
      <c r="I192" s="15">
        <f>COUNTIFS(Cases!$C:$C,A192,Cases!$L:$L,"Not executed")</f>
        <v/>
      </c>
    </row>
    <row r="193">
      <c r="A193" s="15" t="inlineStr">
        <is>
          <t>TC-192</t>
        </is>
      </c>
      <c r="B193" s="15" t="inlineStr">
        <is>
          <t>TS-70</t>
        </is>
      </c>
      <c r="C193" s="16" t="inlineStr">
        <is>
          <t>PLT – Platform behaviour and configuration</t>
        </is>
      </c>
      <c r="D193" s="16" t="inlineStr">
        <is>
          <t>Error display shows messages, validation details and support references</t>
        </is>
      </c>
      <c r="E193" s="15">
        <f>COUNTIF(Cases!$C:$C,A193)</f>
        <v/>
      </c>
      <c r="F193" s="15">
        <f>COUNTIFS(Cases!$C:$C,A193,Cases!$L:$L,"Passed")</f>
        <v/>
      </c>
      <c r="G193" s="15">
        <f>COUNTIFS(Cases!$C:$C,A193,Cases!$L:$L,"Failed")</f>
        <v/>
      </c>
      <c r="H193" s="15">
        <f>COUNTIFS(Cases!$C:$C,A193,Cases!$L:$L,"Blocked")</f>
        <v/>
      </c>
      <c r="I193" s="15">
        <f>COUNTIFS(Cases!$C:$C,A193,Cases!$L:$L,"Not executed")</f>
        <v/>
      </c>
    </row>
    <row r="194">
      <c r="A194" s="15" t="inlineStr">
        <is>
          <t>TC-193</t>
        </is>
      </c>
      <c r="B194" s="15" t="inlineStr">
        <is>
          <t>TS-70</t>
        </is>
      </c>
      <c r="C194" s="16" t="inlineStr">
        <is>
          <t>PLT – Platform behaviour and configuration</t>
        </is>
      </c>
      <c r="D194" s="16" t="inlineStr">
        <is>
          <t>Money, number, date and enum formatting</t>
        </is>
      </c>
      <c r="E194" s="15">
        <f>COUNTIF(Cases!$C:$C,A194)</f>
        <v/>
      </c>
      <c r="F194" s="15">
        <f>COUNTIFS(Cases!$C:$C,A194,Cases!$L:$L,"Passed")</f>
        <v/>
      </c>
      <c r="G194" s="15">
        <f>COUNTIFS(Cases!$C:$C,A194,Cases!$L:$L,"Failed")</f>
        <v/>
      </c>
      <c r="H194" s="15">
        <f>COUNTIFS(Cases!$C:$C,A194,Cases!$L:$L,"Blocked")</f>
        <v/>
      </c>
      <c r="I194" s="15">
        <f>COUNTIFS(Cases!$C:$C,A194,Cases!$L:$L,"Not executed")</f>
        <v/>
      </c>
    </row>
    <row r="195">
      <c r="A195" s="15" t="inlineStr">
        <is>
          <t>TC-194</t>
        </is>
      </c>
      <c r="B195" s="15" t="inlineStr">
        <is>
          <t>TS-70</t>
        </is>
      </c>
      <c r="C195" s="16" t="inlineStr">
        <is>
          <t>PLT – Platform behaviour and configuration</t>
        </is>
      </c>
      <c r="D195" s="16" t="inlineStr">
        <is>
          <t>Permission gating, status tags and menu selection</t>
        </is>
      </c>
      <c r="E195" s="15">
        <f>COUNTIF(Cases!$C:$C,A195)</f>
        <v/>
      </c>
      <c r="F195" s="15">
        <f>COUNTIFS(Cases!$C:$C,A195,Cases!$L:$L,"Passed")</f>
        <v/>
      </c>
      <c r="G195" s="15">
        <f>COUNTIFS(Cases!$C:$C,A195,Cases!$L:$L,"Failed")</f>
        <v/>
      </c>
      <c r="H195" s="15">
        <f>COUNTIFS(Cases!$C:$C,A195,Cases!$L:$L,"Blocked")</f>
        <v/>
      </c>
      <c r="I195" s="15">
        <f>COUNTIFS(Cases!$C:$C,A195,Cases!$L:$L,"Not executed")</f>
        <v/>
      </c>
    </row>
    <row r="196">
      <c r="A196" s="15" t="inlineStr">
        <is>
          <t>TC-195</t>
        </is>
      </c>
      <c r="B196" s="15" t="inlineStr">
        <is>
          <t>TS-70</t>
        </is>
      </c>
      <c r="C196" s="16" t="inlineStr">
        <is>
          <t>PLT – Platform behaviour and configuration</t>
        </is>
      </c>
      <c r="D196" s="16" t="inlineStr">
        <is>
          <t>Sales and admin components: nominee editor, payment filters, option labels, record links, value display</t>
        </is>
      </c>
      <c r="E196" s="15">
        <f>COUNTIF(Cases!$C:$C,A196)</f>
        <v/>
      </c>
      <c r="F196" s="15">
        <f>COUNTIFS(Cases!$C:$C,A196,Cases!$L:$L,"Passed")</f>
        <v/>
      </c>
      <c r="G196" s="15">
        <f>COUNTIFS(Cases!$C:$C,A196,Cases!$L:$L,"Failed")</f>
        <v/>
      </c>
      <c r="H196" s="15">
        <f>COUNTIFS(Cases!$C:$C,A196,Cases!$L:$L,"Blocked")</f>
        <v/>
      </c>
      <c r="I196" s="15">
        <f>COUNTIFS(Cases!$C:$C,A196,Cases!$L:$L,"Not executed")</f>
        <v/>
      </c>
    </row>
    <row r="197">
      <c r="A197" s="15" t="inlineStr">
        <is>
          <t>TC-196</t>
        </is>
      </c>
      <c r="B197" s="15" t="inlineStr">
        <is>
          <t>TS-70</t>
        </is>
      </c>
      <c r="C197" s="16" t="inlineStr">
        <is>
          <t>PLT – Platform behaviour and configuration</t>
        </is>
      </c>
      <c r="D197" s="16" t="inlineStr">
        <is>
          <t>Sign-in page behaviour</t>
        </is>
      </c>
      <c r="E197" s="15">
        <f>COUNTIF(Cases!$C:$C,A197)</f>
        <v/>
      </c>
      <c r="F197" s="15">
        <f>COUNTIFS(Cases!$C:$C,A197,Cases!$L:$L,"Passed")</f>
        <v/>
      </c>
      <c r="G197" s="15">
        <f>COUNTIFS(Cases!$C:$C,A197,Cases!$L:$L,"Failed")</f>
        <v/>
      </c>
      <c r="H197" s="15">
        <f>COUNTIFS(Cases!$C:$C,A197,Cases!$L:$L,"Blocked")</f>
        <v/>
      </c>
      <c r="I197" s="15">
        <f>COUNTIFS(Cases!$C:$C,A197,Cases!$L:$L,"Not executed")</f>
        <v/>
      </c>
    </row>
  </sheetData>
  <printOptions horizontalCentered="1"/>
  <pageMargins left="0.4" right="0.4" top="0.6" bottom="0.6" header="0.5" footer="0.5"/>
  <pageSetup orientation="landscape" paperSize="9" fitToHeight="0" fitToWidth="1"/>
  <headerFooter>
    <oddHeader>&amp;R&amp;8 iorta TechNXT | IIFT Agent/Banca Portal &amp; Back-office</oddHeader>
    <oddFooter>&amp;L&amp;8 Commercial-in-Confidence | IIFT-SV2-TCS v1.0&amp;R&amp;8 &amp;A |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F58220"/>
    <outlinePr summaryBelow="1" summaryRight="1"/>
    <pageSetUpPr fitToPage="1"/>
  </sheetPr>
  <dimension ref="A1:P439"/>
  <sheetViews>
    <sheetView showGridLines="0" zoomScale="9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7" customWidth="1" min="4" max="4"/>
    <col width="44" customWidth="1" min="5" max="5"/>
    <col width="20" customWidth="1" min="6" max="6"/>
    <col width="52" customWidth="1" min="7" max="7"/>
    <col width="30" customWidth="1" min="8" max="8"/>
    <col width="46" customWidth="1" min="9" max="9"/>
    <col width="9" customWidth="1" min="10" max="10"/>
    <col width="34" customWidth="1" min="11" max="11"/>
    <col width="12" customWidth="1" min="12" max="12"/>
    <col width="60" customWidth="1" min="13" max="13"/>
    <col width="16" customWidth="1" min="14" max="14"/>
    <col width="20" customWidth="1" min="15" max="15"/>
    <col width="10" customWidth="1" min="16" max="16"/>
  </cols>
  <sheetData>
    <row r="1" ht="30" customHeight="1">
      <c r="A1" s="14" t="inlineStr">
        <is>
          <t>ID</t>
        </is>
      </c>
      <c r="B1" s="14" t="inlineStr">
        <is>
          <t>Scenario</t>
        </is>
      </c>
      <c r="C1" s="14" t="inlineStr">
        <is>
          <t>Condition</t>
        </is>
      </c>
      <c r="D1" s="14" t="inlineStr">
        <is>
          <t>Area</t>
        </is>
      </c>
      <c r="E1" s="14" t="inlineStr">
        <is>
          <t>Title</t>
        </is>
      </c>
      <c r="F1" s="14" t="inlineStr">
        <is>
          <t>Persona / user</t>
        </is>
      </c>
      <c r="G1" s="14" t="inlineStr">
        <is>
          <t>Steps</t>
        </is>
      </c>
      <c r="H1" s="14" t="inlineStr">
        <is>
          <t>Test data</t>
        </is>
      </c>
      <c r="I1" s="14" t="inlineStr">
        <is>
          <t>Expected result</t>
        </is>
      </c>
      <c r="J1" s="14" t="inlineStr">
        <is>
          <t>Level</t>
        </is>
      </c>
      <c r="K1" s="14" t="inlineStr">
        <is>
          <t>Automation</t>
        </is>
      </c>
      <c r="L1" s="14" t="inlineStr">
        <is>
          <t>Status</t>
        </is>
      </c>
      <c r="M1" s="14" t="inlineStr">
        <is>
          <t>Evidence</t>
        </is>
      </c>
      <c r="N1" s="14" t="inlineStr">
        <is>
          <t>Executed on</t>
        </is>
      </c>
      <c r="O1" s="14" t="inlineStr">
        <is>
          <t>Executed by</t>
        </is>
      </c>
      <c r="P1" s="14" t="inlineStr">
        <is>
          <t>Defect ref</t>
        </is>
      </c>
    </row>
    <row r="2">
      <c r="A2" s="15" t="inlineStr">
        <is>
          <t>CS-0001</t>
        </is>
      </c>
      <c r="B2" s="15" t="inlineStr">
        <is>
          <t>TS-01</t>
        </is>
      </c>
      <c r="C2" s="15" t="inlineStr">
        <is>
          <t>TC-001</t>
        </is>
      </c>
      <c r="D2" s="15" t="inlineStr">
        <is>
          <t>AUT</t>
        </is>
      </c>
      <c r="E2" s="16" t="inlineStr">
        <is>
          <t>Wrong password and unknown user get the same generic 401</t>
        </is>
      </c>
      <c r="F2" s="16" t="inlineStr">
        <is>
          <t>anonymous</t>
        </is>
      </c>
      <c r="G2" s="16" t="inlineStr">
        <is>
          <t>1. POST /api/v1/auth/login with an unknown user name
2. POST /api/v1/auth/login as finance with a wrong password
3. Compare status, code and message</t>
        </is>
      </c>
      <c r="H2" s="16" t="inlineStr">
        <is>
          <t>username nobody-&lt;run&gt;; finance / wrong-password</t>
        </is>
      </c>
      <c r="I2" s="16" t="inlineStr">
        <is>
          <t>HTTP 401 INVALID_CREDENTIALS for both; identical message</t>
        </is>
      </c>
      <c r="J2" s="15" t="inlineStr">
        <is>
          <t>API</t>
        </is>
      </c>
      <c r="K2" s="16" t="inlineStr">
        <is>
          <t>Executed – API run (tools/testing/api-test-run.mjs)</t>
        </is>
      </c>
      <c r="L2" s="17" t="inlineStr">
        <is>
          <t>Passed</t>
        </is>
      </c>
      <c r="M2" s="16" t="inlineStr">
        <is>
          <t>api-test-run.json EX-001: POST /api/v1/auth/login (unknown user; finance with wrong password) → 401 INVALID_CREDENTIALS – Invalid username or password | 401 INVALID_CREDENTIALS – Invalid username or password</t>
        </is>
      </c>
      <c r="N2" s="16" t="inlineStr">
        <is>
          <t>2 Oct 2026 22:12 UTC</t>
        </is>
      </c>
      <c r="O2" s="16" t="inlineStr">
        <is>
          <t>iorta TechNXT QA (API run)</t>
        </is>
      </c>
      <c r="P2" s="16" t="inlineStr"/>
    </row>
    <row r="3">
      <c r="A3" s="15" t="inlineStr">
        <is>
          <t>CS-0002</t>
        </is>
      </c>
      <c r="B3" s="15" t="inlineStr">
        <is>
          <t>TS-01</t>
        </is>
      </c>
      <c r="C3" s="15" t="inlineStr">
        <is>
          <t>TC-001</t>
        </is>
      </c>
      <c r="D3" s="15" t="inlineStr">
        <is>
          <t>AUT</t>
        </is>
      </c>
      <c r="E3" s="16" t="inlineStr">
        <is>
          <t>Generic message for wrong credentials (suite)</t>
        </is>
      </c>
      <c r="F3" s="16" t="inlineStr">
        <is>
          <t>finance, support, ag-000001..3, admin</t>
        </is>
      </c>
      <c r="G3" s="16" t="inlineStr">
        <is>
          <t>1. Run `npm run test:e2e -w apps/api` (rebuilds the iift_test database from the migrations and seeds)
2. Sign in as 'nobody' and as finance with a wrong password</t>
        </is>
      </c>
      <c r="H3" s="16" t="inlineStr">
        <is>
          <t>Unknown user; wrong password</t>
        </is>
      </c>
      <c r="I3" s="16" t="inlineStr">
        <is>
          <t>Both 401 INVALID_CREDENTIALS with identical message</t>
        </is>
      </c>
      <c r="J3" s="15" t="inlineStr">
        <is>
          <t>E2E</t>
        </is>
      </c>
      <c r="K3" s="16" t="inlineStr">
        <is>
          <t>Automated – apps/api/test/auth.e2e-spec.ts › rejects wrong credentials with a generic message</t>
        </is>
      </c>
      <c r="L3" s="17" t="inlineStr">
        <is>
          <t>Passed</t>
        </is>
      </c>
      <c r="M3" s="16" t="inlineStr">
        <is>
          <t>api-e2e-tests.json: 'Authentication and session security (AP-01..04, BO-01) rejects wrong credentials with a generic message' passed (2 Oct 2026 14:55 UTC); test-reruns.json: passed (2 Oct 2026 22:00 UTC)</t>
        </is>
      </c>
      <c r="N3" s="16" t="inlineStr">
        <is>
          <t>2 Oct 2026 22:00 UTC</t>
        </is>
      </c>
      <c r="O3" s="16" t="inlineStr">
        <is>
          <t>iorta QA (Vitest e2e, iift_test database)</t>
        </is>
      </c>
      <c r="P3" s="16" t="inlineStr"/>
    </row>
    <row r="4">
      <c r="A4" s="15" t="inlineStr">
        <is>
          <t>CS-0003</t>
        </is>
      </c>
      <c r="B4" s="15" t="inlineStr">
        <is>
          <t>TS-01</t>
        </is>
      </c>
      <c r="C4" s="15" t="inlineStr">
        <is>
          <t>TC-001</t>
        </is>
      </c>
      <c r="D4" s="15" t="inlineStr">
        <is>
          <t>AUT</t>
        </is>
      </c>
      <c r="E4" s="16" t="inlineStr">
        <is>
          <t>SEC-04 (OWASP A07): Same response for unknown user and wrong password (no user enumeration)</t>
        </is>
      </c>
      <c r="F4" s="16" t="inlineStr">
        <is>
          <t>Security tester</t>
        </is>
      </c>
      <c r="G4" s="16" t="inlineStr">
        <is>
          <t>1. Run `node tools/security/security-checks.mjs` against a fresh non-production instance with demonstration data
2. Read the result of SEC-04</t>
        </is>
      </c>
      <c r="H4" s="16" t="inlineStr">
        <is>
          <t>Demonstration users and records; crafted payloads as described in the script</t>
        </is>
      </c>
      <c r="I4" s="16" t="inlineStr">
        <is>
          <t>Identical message for unknown user and wrong password</t>
        </is>
      </c>
      <c r="J4" s="15" t="inlineStr">
        <is>
          <t>Security</t>
        </is>
      </c>
      <c r="K4" s="16" t="inlineStr">
        <is>
          <t>Automated – tools/security/security-checks.mjs</t>
        </is>
      </c>
      <c r="L4" s="17" t="inlineStr">
        <is>
          <t>Passed</t>
        </is>
      </c>
      <c r="M4" s="16" t="inlineStr">
        <is>
          <t>security-checks.json: SEC-04 PASS (2 Oct 2026 14:57 UTC); evidence summarised in the Security Assessment Report</t>
        </is>
      </c>
      <c r="N4" s="16" t="inlineStr">
        <is>
          <t>2 Oct 2026 14:57 UTC</t>
        </is>
      </c>
      <c r="O4" s="16" t="inlineStr">
        <is>
          <t>iorta QA (security-checks.mjs)</t>
        </is>
      </c>
      <c r="P4" s="16" t="inlineStr"/>
    </row>
    <row r="5">
      <c r="A5" s="15" t="inlineStr">
        <is>
          <t>CS-0004</t>
        </is>
      </c>
      <c r="B5" s="15" t="inlineStr">
        <is>
          <t>TS-01</t>
        </is>
      </c>
      <c r="C5" s="15" t="inlineStr">
        <is>
          <t>TC-002</t>
        </is>
      </c>
      <c r="D5" s="15" t="inlineStr">
        <is>
          <t>AUT</t>
        </is>
      </c>
      <c r="E5" s="16" t="inlineStr">
        <is>
          <t>Successful sign-in issues a HttpOnly SameSite=Strict cookie and a CSRF token</t>
        </is>
      </c>
      <c r="F5" s="16" t="inlineStr">
        <is>
          <t>ag-000001</t>
        </is>
      </c>
      <c r="G5" s="16" t="inlineStr">
        <is>
          <t>1. POST /api/v1/auth/login as ag-000001
2. Inspect Set-Cookie flags and the body</t>
        </is>
      </c>
      <c r="H5" s="16" t="inlineStr">
        <is>
          <t>ag-000001 / demo password</t>
        </is>
      </c>
      <c r="I5" s="16" t="inlineStr">
        <is>
          <t>HTTP 200; Set-Cookie has HttpOnly and SameSite=Strict; csrfToken present; no password hash in body</t>
        </is>
      </c>
      <c r="J5" s="15" t="inlineStr">
        <is>
          <t>API</t>
        </is>
      </c>
      <c r="K5" s="16" t="inlineStr">
        <is>
          <t>Executed – API run (tools/testing/api-test-run.mjs)</t>
        </is>
      </c>
      <c r="L5" s="17" t="inlineStr">
        <is>
          <t>Passed</t>
        </is>
      </c>
      <c r="M5" s="16" t="inlineStr">
        <is>
          <t>api-test-run.json EX-002: POST /api/v1/auth/login → 200; Set-Cookie flags: Path=/, HttpOnly, SameSite=Strict; csrfToken present</t>
        </is>
      </c>
      <c r="N5" s="16" t="inlineStr">
        <is>
          <t>2 Oct 2026 22:12 UTC</t>
        </is>
      </c>
      <c r="O5" s="16" t="inlineStr">
        <is>
          <t>iorta TechNXT QA (API run)</t>
        </is>
      </c>
      <c r="P5" s="16" t="inlineStr"/>
    </row>
    <row r="6">
      <c r="A6" s="15" t="inlineStr">
        <is>
          <t>CS-0005</t>
        </is>
      </c>
      <c r="B6" s="15" t="inlineStr">
        <is>
          <t>TS-01</t>
        </is>
      </c>
      <c r="C6" s="15" t="inlineStr">
        <is>
          <t>TC-003</t>
        </is>
      </c>
      <c r="D6" s="15" t="inlineStr">
        <is>
          <t>AUT</t>
        </is>
      </c>
      <c r="E6" s="16" t="inlineStr">
        <is>
          <t>SEC-27 (OWASP A09): Failed sign-ins are recorded in the audit trail with IP address</t>
        </is>
      </c>
      <c r="F6" s="16" t="inlineStr">
        <is>
          <t>Security tester</t>
        </is>
      </c>
      <c r="G6" s="16" t="inlineStr">
        <is>
          <t>1. Run `node tools/security/security-checks.mjs` against a fresh non-production instance with demonstration data
2. Read the result of SEC-27</t>
        </is>
      </c>
      <c r="H6" s="16" t="inlineStr">
        <is>
          <t>Demonstration users and records; crafted payloads as described in the script</t>
        </is>
      </c>
      <c r="I6" s="16" t="inlineStr">
        <is>
          <t>LOGIN_FAILED events with IP address in the audit trail</t>
        </is>
      </c>
      <c r="J6" s="15" t="inlineStr">
        <is>
          <t>Security</t>
        </is>
      </c>
      <c r="K6" s="16" t="inlineStr">
        <is>
          <t>Automated – tools/security/security-checks.mjs</t>
        </is>
      </c>
      <c r="L6" s="17" t="inlineStr">
        <is>
          <t>Passed</t>
        </is>
      </c>
      <c r="M6" s="16" t="inlineStr">
        <is>
          <t>security-checks.json: SEC-27 PASS (2 Oct 2026 14:57 UTC); evidence summarised in the Security Assessment Report</t>
        </is>
      </c>
      <c r="N6" s="16" t="inlineStr">
        <is>
          <t>2 Oct 2026 14:57 UTC</t>
        </is>
      </c>
      <c r="O6" s="16" t="inlineStr">
        <is>
          <t>iorta QA (security-checks.mjs)</t>
        </is>
      </c>
      <c r="P6" s="16" t="inlineStr"/>
    </row>
    <row r="7">
      <c r="A7" s="15" t="inlineStr">
        <is>
          <t>CS-0006</t>
        </is>
      </c>
      <c r="B7" s="15" t="inlineStr">
        <is>
          <t>TS-01</t>
        </is>
      </c>
      <c r="C7" s="15" t="inlineStr">
        <is>
          <t>TC-004</t>
        </is>
      </c>
      <c r="D7" s="15" t="inlineStr">
        <is>
          <t>AUT</t>
        </is>
      </c>
      <c r="E7" s="16" t="inlineStr">
        <is>
          <t>SEC-08 (OWASP A07): Sign-in attempts are rate limited per client (HTTP 429)</t>
        </is>
      </c>
      <c r="F7" s="16" t="inlineStr">
        <is>
          <t>Security tester</t>
        </is>
      </c>
      <c r="G7" s="16" t="inlineStr">
        <is>
          <t>1. Run `node tools/security/security-checks.mjs` against a fresh non-production instance with demonstration data
2. Read the result of SEC-08</t>
        </is>
      </c>
      <c r="H7" s="16" t="inlineStr">
        <is>
          <t>Demonstration users and records; crafted payloads as described in the script</t>
        </is>
      </c>
      <c r="I7" s="16" t="inlineStr">
        <is>
          <t>HTTP 429 once the per-client sign-in limit is reached</t>
        </is>
      </c>
      <c r="J7" s="15" t="inlineStr">
        <is>
          <t>Security</t>
        </is>
      </c>
      <c r="K7" s="16" t="inlineStr">
        <is>
          <t>Automated – tools/security/security-checks.mjs</t>
        </is>
      </c>
      <c r="L7" s="17" t="inlineStr">
        <is>
          <t>Passed</t>
        </is>
      </c>
      <c r="M7" s="16" t="inlineStr">
        <is>
          <t>security-checks.json: SEC-08 PASS (2 Oct 2026 14:57 UTC); evidence summarised in the Security Assessment Report</t>
        </is>
      </c>
      <c r="N7" s="16" t="inlineStr">
        <is>
          <t>2 Oct 2026 14:57 UTC</t>
        </is>
      </c>
      <c r="O7" s="16" t="inlineStr">
        <is>
          <t>iorta QA (security-checks.mjs)</t>
        </is>
      </c>
      <c r="P7" s="16" t="inlineStr"/>
    </row>
    <row r="8">
      <c r="A8" s="15" t="inlineStr">
        <is>
          <t>CS-0007</t>
        </is>
      </c>
      <c r="B8" s="15" t="inlineStr">
        <is>
          <t>TS-01</t>
        </is>
      </c>
      <c r="C8" s="15" t="inlineStr">
        <is>
          <t>TC-004</t>
        </is>
      </c>
      <c r="D8" s="15" t="inlineStr">
        <is>
          <t>AUT</t>
        </is>
      </c>
      <c r="E8" s="16" t="inlineStr">
        <is>
          <t>Sign-in rate limit per client address</t>
        </is>
      </c>
      <c r="F8" s="16" t="inlineStr">
        <is>
          <t>Anonymous</t>
        </is>
      </c>
      <c r="G8" s="16" t="inlineStr">
        <is>
          <t>1. Send 11 sign-in attempts within a minute from one address</t>
        </is>
      </c>
      <c r="H8" s="16" t="inlineStr">
        <is>
          <t>LOGIN_RATE_LIMIT_PER_MINUTE = 10</t>
        </is>
      </c>
      <c r="I8" s="16" t="inlineStr">
        <is>
          <t>Attempts after the tenth answer 429</t>
        </is>
      </c>
      <c r="J8" s="15" t="inlineStr">
        <is>
          <t>Security</t>
        </is>
      </c>
      <c r="K8" s="16" t="inlineStr">
        <is>
          <t>Not automated</t>
        </is>
      </c>
      <c r="L8" s="18" t="inlineStr">
        <is>
          <t>Not executed</t>
        </is>
      </c>
      <c r="M8" s="16" t="inlineStr">
        <is>
          <t>Not executed in this run (would block the run's own sign-ins); covered by automated check SEC-08</t>
        </is>
      </c>
      <c r="N8" s="16" t="inlineStr"/>
      <c r="O8" s="16" t="inlineStr"/>
      <c r="P8" s="16" t="inlineStr"/>
    </row>
    <row r="9">
      <c r="A9" s="15" t="inlineStr">
        <is>
          <t>CS-0008</t>
        </is>
      </c>
      <c r="B9" s="15" t="inlineStr">
        <is>
          <t>TS-01</t>
        </is>
      </c>
      <c r="C9" s="15" t="inlineStr">
        <is>
          <t>TC-005</t>
        </is>
      </c>
      <c r="D9" s="15" t="inlineStr">
        <is>
          <t>AUT</t>
        </is>
      </c>
      <c r="E9" s="16" t="inlineStr">
        <is>
          <t>SEC-18 (OWASP A03): Injection in sign-in fields is rejected as invalid credentials</t>
        </is>
      </c>
      <c r="F9" s="16" t="inlineStr">
        <is>
          <t>Security tester</t>
        </is>
      </c>
      <c r="G9" s="16" t="inlineStr">
        <is>
          <t>1. Run `node tools/security/security-checks.mjs` against a fresh non-production instance with demonstration data
2. Read the result of SEC-18</t>
        </is>
      </c>
      <c r="H9" s="16" t="inlineStr">
        <is>
          <t>Demonstration users and records; crafted payloads as described in the script</t>
        </is>
      </c>
      <c r="I9" s="16" t="inlineStr">
        <is>
          <t>401 invalid credentials</t>
        </is>
      </c>
      <c r="J9" s="15" t="inlineStr">
        <is>
          <t>Security</t>
        </is>
      </c>
      <c r="K9" s="16" t="inlineStr">
        <is>
          <t>Automated – tools/security/security-checks.mjs</t>
        </is>
      </c>
      <c r="L9" s="17" t="inlineStr">
        <is>
          <t>Passed</t>
        </is>
      </c>
      <c r="M9" s="16" t="inlineStr">
        <is>
          <t>security-checks.json: SEC-18 PASS (2 Oct 2026 14:57 UTC); evidence summarised in the Security Assessment Report</t>
        </is>
      </c>
      <c r="N9" s="16" t="inlineStr">
        <is>
          <t>2 Oct 2026 14:57 UTC</t>
        </is>
      </c>
      <c r="O9" s="16" t="inlineStr">
        <is>
          <t>iorta QA (security-checks.mjs)</t>
        </is>
      </c>
      <c r="P9" s="16" t="inlineStr"/>
    </row>
    <row r="10">
      <c r="A10" s="15" t="inlineStr">
        <is>
          <t>CS-0009</t>
        </is>
      </c>
      <c r="B10" s="15" t="inlineStr">
        <is>
          <t>TS-01</t>
        </is>
      </c>
      <c r="C10" s="15" t="inlineStr">
        <is>
          <t>TC-006</t>
        </is>
      </c>
      <c r="D10" s="15" t="inlineStr">
        <is>
          <t>AUT</t>
        </is>
      </c>
      <c r="E10" s="16" t="inlineStr">
        <is>
          <t>Sign-in page at desktop and mobile widths</t>
        </is>
      </c>
      <c r="F10" s="16" t="inlineStr">
        <is>
          <t>ag-000001</t>
        </is>
      </c>
      <c r="G10" s="16" t="inlineStr">
        <is>
          <t>1. Open /login at 1440, 1280 and 390 px
2. Sign in</t>
        </is>
      </c>
      <c r="H10" s="16" t="inlineStr">
        <is>
          <t>Demo password</t>
        </is>
      </c>
      <c r="I10" s="16" t="inlineStr">
        <is>
          <t>Form usable at every width; dashboard opens</t>
        </is>
      </c>
      <c r="J10" s="15" t="inlineStr">
        <is>
          <t>UI</t>
        </is>
      </c>
      <c r="K10" s="16" t="inlineStr">
        <is>
          <t>Manual (exploratory)</t>
        </is>
      </c>
      <c r="L10" s="17" t="inlineStr">
        <is>
          <t>Passed</t>
        </is>
      </c>
      <c r="M10" s="16" t="inlineStr">
        <is>
          <t>Screens: ui-login-1440.png, ui-login-390.png, a-login.png (evidence/ui-screens)</t>
        </is>
      </c>
      <c r="N10" s="16" t="inlineStr">
        <is>
          <t>2 Oct 2026</t>
        </is>
      </c>
      <c r="O10" s="16" t="inlineStr">
        <is>
          <t>iorta QA (manual, exploratory)</t>
        </is>
      </c>
      <c r="P10" s="16" t="inlineStr"/>
    </row>
    <row r="11">
      <c r="A11" s="15" t="inlineStr">
        <is>
          <t>CS-0010</t>
        </is>
      </c>
      <c r="B11" s="15" t="inlineStr">
        <is>
          <t>TS-02</t>
        </is>
      </c>
      <c r="C11" s="15" t="inlineStr">
        <is>
          <t>TC-007</t>
        </is>
      </c>
      <c r="D11" s="15" t="inlineStr">
        <is>
          <t>AUT</t>
        </is>
      </c>
      <c r="E11" s="16" t="inlineStr">
        <is>
          <t>PasswordService: accepts a password meeting every rule</t>
        </is>
      </c>
      <c r="F11" s="16" t="inlineStr">
        <is>
          <t>Developer / CI</t>
        </is>
      </c>
      <c r="G11" s="16" t="inlineStr">
        <is>
          <t>1. Run `npm test -w apps/api` (Vitest)
2. Locate 'PasswordService accepts a password meeting every rule' in the run output</t>
        </is>
      </c>
      <c r="H11" s="16" t="inlineStr">
        <is>
          <t>Fixtures defined in modules/auth/password.service.spec.ts</t>
        </is>
      </c>
      <c r="I11" s="16" t="inlineStr">
        <is>
          <t>The test passes: PasswordService accepts a password meeting every rule.</t>
        </is>
      </c>
      <c r="J11" s="15" t="inlineStr">
        <is>
          <t>Unit</t>
        </is>
      </c>
      <c r="K11" s="16" t="inlineStr">
        <is>
          <t>Automated – modules/auth/password.service.spec.ts</t>
        </is>
      </c>
      <c r="L11" s="17" t="inlineStr">
        <is>
          <t>Passed</t>
        </is>
      </c>
      <c r="M11" s="16" t="inlineStr">
        <is>
          <t>api-unit-tests.json: 'PasswordService accepts a password meeting every rule' passed (2 Oct 2026 14:55 UTC); test-reruns.json: passed (2 Oct 2026 21:45 UTC)</t>
        </is>
      </c>
      <c r="N11" s="16" t="inlineStr">
        <is>
          <t>2 Oct 2026 21:45 UTC</t>
        </is>
      </c>
      <c r="O11" s="16" t="inlineStr">
        <is>
          <t>iorta QA (Vitest)</t>
        </is>
      </c>
      <c r="P11" s="16" t="inlineStr"/>
    </row>
    <row r="12">
      <c r="A12" s="15" t="inlineStr">
        <is>
          <t>CS-0011</t>
        </is>
      </c>
      <c r="B12" s="15" t="inlineStr">
        <is>
          <t>TS-02</t>
        </is>
      </c>
      <c r="C12" s="15" t="inlineStr">
        <is>
          <t>TC-007</t>
        </is>
      </c>
      <c r="D12" s="15" t="inlineStr">
        <is>
          <t>AUT</t>
        </is>
      </c>
      <c r="E12" s="16" t="inlineStr">
        <is>
          <t>PasswordService: rejects passwords containing the username</t>
        </is>
      </c>
      <c r="F12" s="16" t="inlineStr">
        <is>
          <t>Developer / CI</t>
        </is>
      </c>
      <c r="G12" s="16" t="inlineStr">
        <is>
          <t>1. Run `npm test -w apps/api` (Vitest)
2. Locate 'PasswordService rejects passwords containing the username' in the run output</t>
        </is>
      </c>
      <c r="H12" s="16" t="inlineStr">
        <is>
          <t>Fixtures defined in modules/auth/password.service.spec.ts</t>
        </is>
      </c>
      <c r="I12" s="16" t="inlineStr">
        <is>
          <t>The test passes: PasswordService rejects passwords containing the username.</t>
        </is>
      </c>
      <c r="J12" s="15" t="inlineStr">
        <is>
          <t>Unit</t>
        </is>
      </c>
      <c r="K12" s="16" t="inlineStr">
        <is>
          <t>Automated – modules/auth/password.service.spec.ts</t>
        </is>
      </c>
      <c r="L12" s="17" t="inlineStr">
        <is>
          <t>Passed</t>
        </is>
      </c>
      <c r="M12" s="16" t="inlineStr">
        <is>
          <t>api-unit-tests.json: 'PasswordService rejects passwords containing the username' passed (2 Oct 2026 14:55 UTC); test-reruns.json: passed (2 Oct 2026 21:45 UTC)</t>
        </is>
      </c>
      <c r="N12" s="16" t="inlineStr">
        <is>
          <t>2 Oct 2026 21:45 UTC</t>
        </is>
      </c>
      <c r="O12" s="16" t="inlineStr">
        <is>
          <t>iorta QA (Vitest)</t>
        </is>
      </c>
      <c r="P12" s="16" t="inlineStr"/>
    </row>
    <row r="13">
      <c r="A13" s="15" t="inlineStr">
        <is>
          <t>CS-0012</t>
        </is>
      </c>
      <c r="B13" s="15" t="inlineStr">
        <is>
          <t>TS-02</t>
        </is>
      </c>
      <c r="C13" s="15" t="inlineStr">
        <is>
          <t>TC-007</t>
        </is>
      </c>
      <c r="D13" s="15" t="inlineStr">
        <is>
          <t>AUT</t>
        </is>
      </c>
      <c r="E13" s="16" t="inlineStr">
        <is>
          <t>PasswordService: reports every unmet rule together</t>
        </is>
      </c>
      <c r="F13" s="16" t="inlineStr">
        <is>
          <t>Developer / CI</t>
        </is>
      </c>
      <c r="G13" s="16" t="inlineStr">
        <is>
          <t>1. Run `npm test -w apps/api` (Vitest)
2. Locate 'PasswordService reports every unmet rule together' in the run output</t>
        </is>
      </c>
      <c r="H13" s="16" t="inlineStr">
        <is>
          <t>Fixtures defined in modules/auth/password.service.spec.ts</t>
        </is>
      </c>
      <c r="I13" s="16" t="inlineStr">
        <is>
          <t>The test passes: PasswordService reports every unmet rule together.</t>
        </is>
      </c>
      <c r="J13" s="15" t="inlineStr">
        <is>
          <t>Unit</t>
        </is>
      </c>
      <c r="K13" s="16" t="inlineStr">
        <is>
          <t>Automated – modules/auth/password.service.spec.ts</t>
        </is>
      </c>
      <c r="L13" s="17" t="inlineStr">
        <is>
          <t>Passed</t>
        </is>
      </c>
      <c r="M13" s="16" t="inlineStr">
        <is>
          <t>api-unit-tests.json: 'PasswordService reports every unmet rule together' passed (2 Oct 2026 14:55 UTC); test-reruns.json: passed (2 Oct 2026 21:45 UTC)</t>
        </is>
      </c>
      <c r="N13" s="16" t="inlineStr">
        <is>
          <t>2 Oct 2026 21:45 UTC</t>
        </is>
      </c>
      <c r="O13" s="16" t="inlineStr">
        <is>
          <t>iorta QA (Vitest)</t>
        </is>
      </c>
      <c r="P13" s="16" t="inlineStr"/>
    </row>
    <row r="14">
      <c r="A14" s="15" t="inlineStr">
        <is>
          <t>CS-0013</t>
        </is>
      </c>
      <c r="B14" s="15" t="inlineStr">
        <is>
          <t>TS-02</t>
        </is>
      </c>
      <c r="C14" s="15" t="inlineStr">
        <is>
          <t>TC-007</t>
        </is>
      </c>
      <c r="D14" s="15" t="inlineStr">
        <is>
          <t>AUT</t>
        </is>
      </c>
      <c r="E14" s="16" t="inlineStr">
        <is>
          <t>Password policy is enforced on change-password</t>
        </is>
      </c>
      <c r="F14" s="16" t="inlineStr">
        <is>
          <t>ag-000002</t>
        </is>
      </c>
      <c r="G14" s="16" t="inlineStr">
        <is>
          <t>1. POST /api/v1/auth/change-password with newPassword 'password1'
2. POST with a wrong currentPassword
3. GET /api/v1/auth/me</t>
        </is>
      </c>
      <c r="H14" s="16" t="inlineStr">
        <is>
          <t>ag-000002</t>
        </is>
      </c>
      <c r="I14" s="16" t="inlineStr">
        <is>
          <t>HTTP 422 PASSWORD_POLICY for a weak password; 422 CURRENT_PASSWORD_INCORRECT when the current password is wrong; the demo password is unchanged</t>
        </is>
      </c>
      <c r="J14" s="15" t="inlineStr">
        <is>
          <t>API</t>
        </is>
      </c>
      <c r="K14" s="16" t="inlineStr">
        <is>
          <t>Executed – API run (tools/testing/api-test-run.mjs)</t>
        </is>
      </c>
      <c r="L14" s="17" t="inlineStr">
        <is>
          <t>Passed</t>
        </is>
      </c>
      <c r="M14" s="16" t="inlineStr">
        <is>
          <t>api-test-run.json EX-006: POST /api/v1/auth/change-password (weak new password; wrong current password) → 422 PASSWORD_POLICY – Password does not meet the password policy [At least 12 characters; An upper-case letter; A symbol] | 422 CURRENT_PASSWORD_INCORRECT – Current password is incorrect | session still valid: 200</t>
        </is>
      </c>
      <c r="N14" s="16" t="inlineStr">
        <is>
          <t>2 Oct 2026 22:12 UTC</t>
        </is>
      </c>
      <c r="O14" s="16" t="inlineStr">
        <is>
          <t>iorta TechNXT QA (API run)</t>
        </is>
      </c>
      <c r="P14" s="16" t="inlineStr"/>
    </row>
    <row r="15">
      <c r="A15" s="15" t="inlineStr">
        <is>
          <t>CS-0014</t>
        </is>
      </c>
      <c r="B15" s="15" t="inlineStr">
        <is>
          <t>TS-02</t>
        </is>
      </c>
      <c r="C15" s="15" t="inlineStr">
        <is>
          <t>TC-008</t>
        </is>
      </c>
      <c r="D15" s="15" t="inlineStr">
        <is>
          <t>AUT</t>
        </is>
      </c>
      <c r="E15" s="16" t="inlineStr">
        <is>
          <t>PasswordService: expires passwords after the configured number of days</t>
        </is>
      </c>
      <c r="F15" s="16" t="inlineStr">
        <is>
          <t>Developer / CI</t>
        </is>
      </c>
      <c r="G15" s="16" t="inlineStr">
        <is>
          <t>1. Run `npm test -w apps/api` (Vitest)
2. Locate 'PasswordService expires passwords after the configured number of days' in the run output</t>
        </is>
      </c>
      <c r="H15" s="16" t="inlineStr">
        <is>
          <t>Fixtures defined in modules/auth/password.service.spec.ts</t>
        </is>
      </c>
      <c r="I15" s="16" t="inlineStr">
        <is>
          <t>The test passes: PasswordService expires passwords after the configured number of days.</t>
        </is>
      </c>
      <c r="J15" s="15" t="inlineStr">
        <is>
          <t>Unit</t>
        </is>
      </c>
      <c r="K15" s="16" t="inlineStr">
        <is>
          <t>Automated – modules/auth/password.service.spec.ts</t>
        </is>
      </c>
      <c r="L15" s="17" t="inlineStr">
        <is>
          <t>Passed</t>
        </is>
      </c>
      <c r="M15" s="16" t="inlineStr">
        <is>
          <t>api-unit-tests.json: 'PasswordService expires passwords after the configured number of days' passed (2 Oct 2026 14:55 UTC); test-reruns.json: passed (2 Oct 2026 21:45 UTC)</t>
        </is>
      </c>
      <c r="N15" s="16" t="inlineStr">
        <is>
          <t>2 Oct 2026 21:45 UTC</t>
        </is>
      </c>
      <c r="O15" s="16" t="inlineStr">
        <is>
          <t>iorta QA (Vitest)</t>
        </is>
      </c>
      <c r="P15" s="16" t="inlineStr"/>
    </row>
    <row r="16">
      <c r="A16" s="15" t="inlineStr">
        <is>
          <t>CS-0015</t>
        </is>
      </c>
      <c r="B16" s="15" t="inlineStr">
        <is>
          <t>TS-02</t>
        </is>
      </c>
      <c r="C16" s="15" t="inlineStr">
        <is>
          <t>TC-008</t>
        </is>
      </c>
      <c r="D16" s="15" t="inlineStr">
        <is>
          <t>AUT</t>
        </is>
      </c>
      <c r="E16" s="16" t="inlineStr">
        <is>
          <t>Password history and expiry</t>
        </is>
      </c>
      <c r="F16" s="16" t="inlineStr">
        <is>
          <t>Agent</t>
        </is>
      </c>
      <c r="G16" s="16" t="inlineStr">
        <is>
          <t>1. Change password 6 times cycling back to the first
2. Set expiry to 1 day; sign in after</t>
        </is>
      </c>
      <c r="H16" s="16" t="inlineStr">
        <is>
          <t>history_count 5, expiry_days</t>
        </is>
      </c>
      <c r="I16" s="16" t="inlineStr">
        <is>
          <t>Reuse of the last 5 refused; expired password forces a change</t>
        </is>
      </c>
      <c r="J16" s="15" t="inlineStr">
        <is>
          <t>SIT</t>
        </is>
      </c>
      <c r="K16" s="16" t="inlineStr">
        <is>
          <t>Not automated</t>
        </is>
      </c>
      <c r="L16" s="18" t="inlineStr">
        <is>
          <t>Not executed</t>
        </is>
      </c>
      <c r="M16" s="16" t="inlineStr">
        <is>
          <t>Not executed – changes demonstration account passwords; run in SIT with dedicated accounts</t>
        </is>
      </c>
      <c r="N16" s="16" t="inlineStr"/>
      <c r="O16" s="16" t="inlineStr"/>
      <c r="P16" s="16" t="inlineStr"/>
    </row>
    <row r="17">
      <c r="A17" s="15" t="inlineStr">
        <is>
          <t>CS-0016</t>
        </is>
      </c>
      <c r="B17" s="15" t="inlineStr">
        <is>
          <t>TS-02</t>
        </is>
      </c>
      <c r="C17" s="15" t="inlineStr">
        <is>
          <t>TC-009</t>
        </is>
      </c>
      <c r="D17" s="15" t="inlineStr">
        <is>
          <t>AUT</t>
        </is>
      </c>
      <c r="E17" s="16" t="inlineStr">
        <is>
          <t>PasswordService: hashes with Argon2id and verifies</t>
        </is>
      </c>
      <c r="F17" s="16" t="inlineStr">
        <is>
          <t>Developer / CI</t>
        </is>
      </c>
      <c r="G17" s="16" t="inlineStr">
        <is>
          <t>1. Run `npm test -w apps/api` (Vitest)
2. Locate 'PasswordService hashes with Argon2id and verifies' in the run output</t>
        </is>
      </c>
      <c r="H17" s="16" t="inlineStr">
        <is>
          <t>Fixtures defined in modules/auth/password.service.spec.ts</t>
        </is>
      </c>
      <c r="I17" s="16" t="inlineStr">
        <is>
          <t>The test passes: PasswordService hashes with Argon2id and verifies.</t>
        </is>
      </c>
      <c r="J17" s="15" t="inlineStr">
        <is>
          <t>Unit</t>
        </is>
      </c>
      <c r="K17" s="16" t="inlineStr">
        <is>
          <t>Automated – modules/auth/password.service.spec.ts</t>
        </is>
      </c>
      <c r="L17" s="17" t="inlineStr">
        <is>
          <t>Passed</t>
        </is>
      </c>
      <c r="M17" s="16" t="inlineStr">
        <is>
          <t>api-unit-tests.json: 'PasswordService hashes with Argon2id and verifies' passed (2 Oct 2026 14:55 UTC); test-reruns.json: passed (2 Oct 2026 21:45 UTC)</t>
        </is>
      </c>
      <c r="N17" s="16" t="inlineStr">
        <is>
          <t>2 Oct 2026 21:45 UTC</t>
        </is>
      </c>
      <c r="O17" s="16" t="inlineStr">
        <is>
          <t>iorta QA (Vitest)</t>
        </is>
      </c>
      <c r="P17" s="16" t="inlineStr"/>
    </row>
    <row r="18">
      <c r="A18" s="15" t="inlineStr">
        <is>
          <t>CS-0017</t>
        </is>
      </c>
      <c r="B18" s="15" t="inlineStr">
        <is>
          <t>TS-02</t>
        </is>
      </c>
      <c r="C18" s="15" t="inlineStr">
        <is>
          <t>TC-010</t>
        </is>
      </c>
      <c r="D18" s="15" t="inlineStr">
        <is>
          <t>AUT</t>
        </is>
      </c>
      <c r="E18" s="16" t="inlineStr">
        <is>
          <t>Temporary password must be changed first; weak passwords refused (suite)</t>
        </is>
      </c>
      <c r="F18" s="16" t="inlineStr">
        <is>
          <t>finance, support, ag-000001..3, admin</t>
        </is>
      </c>
      <c r="G18" s="16" t="inlineStr">
        <is>
          <t>1. Run `npm run test:e2e -w apps/api` (rebuilds the iift_test database from the migrations and seeds)
2. Sign in as admin with the seeded temporary password
3. GET /backoffice/users
4. Change to 'password1'
5. Change to a strong password
6. GET /backoffice/users</t>
        </is>
      </c>
      <c r="H18" s="16" t="inlineStr">
        <is>
          <t>admin / Temp#Admin2026x</t>
        </is>
      </c>
      <c r="I18" s="16" t="inlineStr">
        <is>
          <t>403 PASSWORD_CHANGE_REQUIRED; 422 PASSWORD_POLICY; 200; 200</t>
        </is>
      </c>
      <c r="J18" s="15" t="inlineStr">
        <is>
          <t>E2E</t>
        </is>
      </c>
      <c r="K18" s="16" t="inlineStr">
        <is>
          <t>Automated – apps/api/test/auth.e2e-spec.ts › forces a temporary password to be changed before anything else</t>
        </is>
      </c>
      <c r="L18" s="17" t="inlineStr">
        <is>
          <t>Passed</t>
        </is>
      </c>
      <c r="M18" s="16" t="inlineStr">
        <is>
          <t>api-e2e-tests.json: 'Authentication and session security (AP-01..04, BO-01) forces a temporary password to be changed before anything else' passed (2 Oct 2026 14:55 UTC); test-reruns.json: passed (2 Oct 2026 22:00 UTC)</t>
        </is>
      </c>
      <c r="N18" s="16" t="inlineStr">
        <is>
          <t>2 Oct 2026 22:00 UTC</t>
        </is>
      </c>
      <c r="O18" s="16" t="inlineStr">
        <is>
          <t>iorta QA (Vitest e2e, iift_test database)</t>
        </is>
      </c>
      <c r="P18" s="16" t="inlineStr"/>
    </row>
    <row r="19">
      <c r="A19" s="15" t="inlineStr">
        <is>
          <t>CS-0018</t>
        </is>
      </c>
      <c r="B19" s="15" t="inlineStr">
        <is>
          <t>TS-02</t>
        </is>
      </c>
      <c r="C19" s="15" t="inlineStr">
        <is>
          <t>TC-010</t>
        </is>
      </c>
      <c r="D19" s="15" t="inlineStr">
        <is>
          <t>AUT</t>
        </is>
      </c>
      <c r="E19" s="16" t="inlineStr">
        <is>
          <t>Change-password page after first sign-in</t>
        </is>
      </c>
      <c r="F19" s="16" t="inlineStr">
        <is>
          <t>New user</t>
        </is>
      </c>
      <c r="G19" s="16" t="inlineStr">
        <is>
          <t>1. Sign in with a temporary password
2. Observe the change-password page</t>
        </is>
      </c>
      <c r="H19" s="16" t="inlineStr">
        <is>
          <t>Temporary password</t>
        </is>
      </c>
      <c r="I19" s="16" t="inlineStr">
        <is>
          <t>Change-password page shown before any other page</t>
        </is>
      </c>
      <c r="J19" s="15" t="inlineStr">
        <is>
          <t>UI</t>
        </is>
      </c>
      <c r="K19" s="16" t="inlineStr">
        <is>
          <t>Manual (exploratory)</t>
        </is>
      </c>
      <c r="L19" s="17" t="inlineStr">
        <is>
          <t>Passed</t>
        </is>
      </c>
      <c r="M19" s="16" t="inlineStr">
        <is>
          <t>Screens: ui-change-password.png (evidence/ui-screens)</t>
        </is>
      </c>
      <c r="N19" s="16" t="inlineStr">
        <is>
          <t>2 Oct 2026</t>
        </is>
      </c>
      <c r="O19" s="16" t="inlineStr">
        <is>
          <t>iorta QA (manual, exploratory)</t>
        </is>
      </c>
      <c r="P19" s="16" t="inlineStr"/>
    </row>
    <row r="20">
      <c r="A20" s="15" t="inlineStr">
        <is>
          <t>CS-0019</t>
        </is>
      </c>
      <c r="B20" s="15" t="inlineStr">
        <is>
          <t>TS-02</t>
        </is>
      </c>
      <c r="C20" s="15" t="inlineStr">
        <is>
          <t>TC-011</t>
        </is>
      </c>
      <c r="D20" s="15" t="inlineStr">
        <is>
          <t>AUT</t>
        </is>
      </c>
      <c r="E20" s="16" t="inlineStr">
        <is>
          <t>PasswordService: generates temporary passwords that satisfy the policy</t>
        </is>
      </c>
      <c r="F20" s="16" t="inlineStr">
        <is>
          <t>Developer / CI</t>
        </is>
      </c>
      <c r="G20" s="16" t="inlineStr">
        <is>
          <t>1. Run `npm test -w apps/api` (Vitest)
2. Locate 'PasswordService generates temporary passwords that satisfy the policy' in the run output</t>
        </is>
      </c>
      <c r="H20" s="16" t="inlineStr">
        <is>
          <t>Fixtures defined in modules/auth/password.service.spec.ts</t>
        </is>
      </c>
      <c r="I20" s="16" t="inlineStr">
        <is>
          <t>The test passes: PasswordService generates temporary passwords that satisfy the policy.</t>
        </is>
      </c>
      <c r="J20" s="15" t="inlineStr">
        <is>
          <t>Unit</t>
        </is>
      </c>
      <c r="K20" s="16" t="inlineStr">
        <is>
          <t>Automated – modules/auth/password.service.spec.ts</t>
        </is>
      </c>
      <c r="L20" s="17" t="inlineStr">
        <is>
          <t>Passed</t>
        </is>
      </c>
      <c r="M20" s="16" t="inlineStr">
        <is>
          <t>api-unit-tests.json: 'PasswordService generates temporary passwords that satisfy the policy' passed (2 Oct 2026 14:55 UTC); test-reruns.json: passed (2 Oct 2026 21:45 UTC)</t>
        </is>
      </c>
      <c r="N20" s="16" t="inlineStr">
        <is>
          <t>2 Oct 2026 21:45 UTC</t>
        </is>
      </c>
      <c r="O20" s="16" t="inlineStr">
        <is>
          <t>iorta QA (Vitest)</t>
        </is>
      </c>
      <c r="P20" s="16" t="inlineStr"/>
    </row>
    <row r="21">
      <c r="A21" s="15" t="inlineStr">
        <is>
          <t>CS-0020</t>
        </is>
      </c>
      <c r="B21" s="15" t="inlineStr">
        <is>
          <t>TS-03</t>
        </is>
      </c>
      <c r="C21" s="15" t="inlineStr">
        <is>
          <t>TC-012</t>
        </is>
      </c>
      <c r="D21" s="15" t="inlineStr">
        <is>
          <t>AUT</t>
        </is>
      </c>
      <c r="E21" s="16" t="inlineStr">
        <is>
          <t>Session cookie flags and no secrets in the sign-in response (suite)</t>
        </is>
      </c>
      <c r="F21" s="16" t="inlineStr">
        <is>
          <t>finance, support, ag-000001..3, admin</t>
        </is>
      </c>
      <c r="G21" s="16" t="inlineStr">
        <is>
          <t>1. Run `npm run test:e2e -w apps/api` (rebuilds the iift_test database from the migrations and seeds)
2. Sign in as finance
3. Inspect Set-Cookie and body</t>
        </is>
      </c>
      <c r="H21" s="16" t="inlineStr">
        <is>
          <t>finance</t>
        </is>
      </c>
      <c r="I21" s="16" t="inlineStr">
        <is>
          <t>HttpOnly, SameSite=Strict; no passwordHash or argon2 text</t>
        </is>
      </c>
      <c r="J21" s="15" t="inlineStr">
        <is>
          <t>E2E</t>
        </is>
      </c>
      <c r="K21" s="16" t="inlineStr">
        <is>
          <t>Automated – apps/api/test/auth.e2e-spec.ts › issues an HttpOnly, SameSite=Strict session cookie and never returns secrets</t>
        </is>
      </c>
      <c r="L21" s="17" t="inlineStr">
        <is>
          <t>Passed</t>
        </is>
      </c>
      <c r="M21" s="16" t="inlineStr">
        <is>
          <t>api-e2e-tests.json: 'Authentication and session security (AP-01..04, BO-01) issues an HttpOnly, SameSite=Strict session cookie and never returns secrets' passed (2 Oct 2026 14:55 UTC); test-reruns.json: passed (2 Oct 2026 22:00 UTC)</t>
        </is>
      </c>
      <c r="N21" s="16" t="inlineStr">
        <is>
          <t>2 Oct 2026 22:00 UTC</t>
        </is>
      </c>
      <c r="O21" s="16" t="inlineStr">
        <is>
          <t>iorta QA (Vitest e2e, iift_test database)</t>
        </is>
      </c>
      <c r="P21" s="16" t="inlineStr"/>
    </row>
    <row r="22">
      <c r="A22" s="15" t="inlineStr">
        <is>
          <t>CS-0021</t>
        </is>
      </c>
      <c r="B22" s="15" t="inlineStr">
        <is>
          <t>TS-03</t>
        </is>
      </c>
      <c r="C22" s="15" t="inlineStr">
        <is>
          <t>TC-012</t>
        </is>
      </c>
      <c r="D22" s="15" t="inlineStr">
        <is>
          <t>AUT</t>
        </is>
      </c>
      <c r="E22" s="16" t="inlineStr">
        <is>
          <t>SEC-05 (OWASP A07): Session cookie is HttpOnly and SameSite=Strict (Secure is enforced in production configuration)</t>
        </is>
      </c>
      <c r="F22" s="16" t="inlineStr">
        <is>
          <t>Security tester</t>
        </is>
      </c>
      <c r="G22" s="16" t="inlineStr">
        <is>
          <t>1. Run `node tools/security/security-checks.mjs` against a fresh non-production instance with demonstration data
2. Read the result of SEC-05</t>
        </is>
      </c>
      <c r="H22" s="16" t="inlineStr">
        <is>
          <t>Demonstration users and records; crafted payloads as described in the script</t>
        </is>
      </c>
      <c r="I22" s="16" t="inlineStr">
        <is>
          <t>HttpOnly and SameSite=Strict; Secure enforced by production configuration</t>
        </is>
      </c>
      <c r="J22" s="15" t="inlineStr">
        <is>
          <t>Security</t>
        </is>
      </c>
      <c r="K22" s="16" t="inlineStr">
        <is>
          <t>Automated – tools/security/security-checks.mjs</t>
        </is>
      </c>
      <c r="L22" s="17" t="inlineStr">
        <is>
          <t>Passed</t>
        </is>
      </c>
      <c r="M22" s="16" t="inlineStr">
        <is>
          <t>security-checks.json: SEC-05 PASS (2 Oct 2026 14:57 UTC); evidence summarised in the Security Assessment Report</t>
        </is>
      </c>
      <c r="N22" s="16" t="inlineStr">
        <is>
          <t>2 Oct 2026 14:57 UTC</t>
        </is>
      </c>
      <c r="O22" s="16" t="inlineStr">
        <is>
          <t>iorta QA (security-checks.mjs)</t>
        </is>
      </c>
      <c r="P22" s="16" t="inlineStr"/>
    </row>
    <row r="23">
      <c r="A23" s="15" t="inlineStr">
        <is>
          <t>CS-0022</t>
        </is>
      </c>
      <c r="B23" s="15" t="inlineStr">
        <is>
          <t>TS-03</t>
        </is>
      </c>
      <c r="C23" s="15" t="inlineStr">
        <is>
          <t>TC-013</t>
        </is>
      </c>
      <c r="D23" s="15" t="inlineStr">
        <is>
          <t>AUT</t>
        </is>
      </c>
      <c r="E23" s="16" t="inlineStr">
        <is>
          <t>SEC-06 (OWASP A07): Session identifier changes at every sign-in (no session fixation)</t>
        </is>
      </c>
      <c r="F23" s="16" t="inlineStr">
        <is>
          <t>Security tester</t>
        </is>
      </c>
      <c r="G23" s="16" t="inlineStr">
        <is>
          <t>1. Run `node tools/security/security-checks.mjs` against a fresh non-production instance with demonstration data
2. Read the result of SEC-06</t>
        </is>
      </c>
      <c r="H23" s="16" t="inlineStr">
        <is>
          <t>Demonstration users and records; crafted payloads as described in the script</t>
        </is>
      </c>
      <c r="I23" s="16" t="inlineStr">
        <is>
          <t>New session identifier after sign-in</t>
        </is>
      </c>
      <c r="J23" s="15" t="inlineStr">
        <is>
          <t>Security</t>
        </is>
      </c>
      <c r="K23" s="16" t="inlineStr">
        <is>
          <t>Automated – tools/security/security-checks.mjs</t>
        </is>
      </c>
      <c r="L23" s="17" t="inlineStr">
        <is>
          <t>Passed</t>
        </is>
      </c>
      <c r="M23" s="16" t="inlineStr">
        <is>
          <t>security-checks.json: SEC-06 PASS (2 Oct 2026 14:57 UTC); evidence summarised in the Security Assessment Report</t>
        </is>
      </c>
      <c r="N23" s="16" t="inlineStr">
        <is>
          <t>2 Oct 2026 14:57 UTC</t>
        </is>
      </c>
      <c r="O23" s="16" t="inlineStr">
        <is>
          <t>iorta QA (security-checks.mjs)</t>
        </is>
      </c>
      <c r="P23" s="16" t="inlineStr"/>
    </row>
    <row r="24">
      <c r="A24" s="15" t="inlineStr">
        <is>
          <t>CS-0023</t>
        </is>
      </c>
      <c r="B24" s="15" t="inlineStr">
        <is>
          <t>TS-03</t>
        </is>
      </c>
      <c r="C24" s="15" t="inlineStr">
        <is>
          <t>TC-014</t>
        </is>
      </c>
      <c r="D24" s="15" t="inlineStr">
        <is>
          <t>AUT</t>
        </is>
      </c>
      <c r="E24" s="16" t="inlineStr">
        <is>
          <t>Logout ends the session server-side</t>
        </is>
      </c>
      <c r="F24" s="16" t="inlineStr">
        <is>
          <t>ag-000003</t>
        </is>
      </c>
      <c r="G24" s="16" t="inlineStr">
        <is>
          <t>1. Sign in as ag-000003
2. GET /api/v1/auth/me
3. POST /api/v1/auth/logout
4. GET /api/v1/auth/me with the same cookie</t>
        </is>
      </c>
      <c r="H24" s="16" t="inlineStr">
        <is>
          <t>ag-000003</t>
        </is>
      </c>
      <c r="I24" s="16" t="inlineStr">
        <is>
          <t>GET /auth/me 200 before logout, 401 NOT_AUTHENTICATED after</t>
        </is>
      </c>
      <c r="J24" s="15" t="inlineStr">
        <is>
          <t>API</t>
        </is>
      </c>
      <c r="K24" s="16" t="inlineStr">
        <is>
          <t>Executed – API run (tools/testing/api-test-run.mjs)</t>
        </is>
      </c>
      <c r="L24" s="17" t="inlineStr">
        <is>
          <t>Passed</t>
        </is>
      </c>
      <c r="M24" s="16" t="inlineStr">
        <is>
          <t>api-test-run.json EX-007: GET /api/v1/auth/me; POST /api/v1/auth/logout; GET /api/v1/auth/me → 200 | 204 | 401 NOT_AUTHENTICATED – Please sign in</t>
        </is>
      </c>
      <c r="N24" s="16" t="inlineStr">
        <is>
          <t>2 Oct 2026 22:12 UTC</t>
        </is>
      </c>
      <c r="O24" s="16" t="inlineStr">
        <is>
          <t>iorta TechNXT QA (API run)</t>
        </is>
      </c>
      <c r="P24" s="16" t="inlineStr"/>
    </row>
    <row r="25">
      <c r="A25" s="15" t="inlineStr">
        <is>
          <t>CS-0024</t>
        </is>
      </c>
      <c r="B25" s="15" t="inlineStr">
        <is>
          <t>TS-03</t>
        </is>
      </c>
      <c r="C25" s="15" t="inlineStr">
        <is>
          <t>TC-014</t>
        </is>
      </c>
      <c r="D25" s="15" t="inlineStr">
        <is>
          <t>AUT</t>
        </is>
      </c>
      <c r="E25" s="16" t="inlineStr">
        <is>
          <t>Logout ends the session (suite)</t>
        </is>
      </c>
      <c r="F25" s="16" t="inlineStr">
        <is>
          <t>finance, support, ag-000001..3, admin</t>
        </is>
      </c>
      <c r="G25" s="16" t="inlineStr">
        <is>
          <t>1. Run `npm run test:e2e -w apps/api` (rebuilds the iift_test database from the migrations and seeds)
2. GET /auth/me, logout, GET /auth/me</t>
        </is>
      </c>
      <c r="H25" s="16" t="inlineStr">
        <is>
          <t>ag-000002</t>
        </is>
      </c>
      <c r="I25" s="16" t="inlineStr">
        <is>
          <t>200; 204; 401</t>
        </is>
      </c>
      <c r="J25" s="15" t="inlineStr">
        <is>
          <t>E2E</t>
        </is>
      </c>
      <c r="K25" s="16" t="inlineStr">
        <is>
          <t>Automated – apps/api/test/auth.e2e-spec.ts › ends the session on logout</t>
        </is>
      </c>
      <c r="L25" s="17" t="inlineStr">
        <is>
          <t>Passed</t>
        </is>
      </c>
      <c r="M25" s="16" t="inlineStr">
        <is>
          <t>api-e2e-tests.json: 'Authentication and session security (AP-01..04, BO-01) ends the session on logout' passed (2 Oct 2026 14:55 UTC); test-reruns.json: passed (2 Oct 2026 22:00 UTC)</t>
        </is>
      </c>
      <c r="N25" s="16" t="inlineStr">
        <is>
          <t>2 Oct 2026 22:00 UTC</t>
        </is>
      </c>
      <c r="O25" s="16" t="inlineStr">
        <is>
          <t>iorta QA (Vitest e2e, iift_test database)</t>
        </is>
      </c>
      <c r="P25" s="16" t="inlineStr"/>
    </row>
    <row r="26">
      <c r="A26" s="15" t="inlineStr">
        <is>
          <t>CS-0025</t>
        </is>
      </c>
      <c r="B26" s="15" t="inlineStr">
        <is>
          <t>TS-03</t>
        </is>
      </c>
      <c r="C26" s="15" t="inlineStr">
        <is>
          <t>TC-014</t>
        </is>
      </c>
      <c r="D26" s="15" t="inlineStr">
        <is>
          <t>AUT</t>
        </is>
      </c>
      <c r="E26" s="16" t="inlineStr">
        <is>
          <t>SEC-07 (OWASP A07): A session cookie cannot be reused after logout (server-side revocation)</t>
        </is>
      </c>
      <c r="F26" s="16" t="inlineStr">
        <is>
          <t>Security tester</t>
        </is>
      </c>
      <c r="G26" s="16" t="inlineStr">
        <is>
          <t>1. Run `node tools/security/security-checks.mjs` against a fresh non-production instance with demonstration data
2. Read the result of SEC-07</t>
        </is>
      </c>
      <c r="H26" s="16" t="inlineStr">
        <is>
          <t>Demonstration users and records; crafted payloads as described in the script</t>
        </is>
      </c>
      <c r="I26" s="16" t="inlineStr">
        <is>
          <t>Old cookie rejected (401) after logout</t>
        </is>
      </c>
      <c r="J26" s="15" t="inlineStr">
        <is>
          <t>Security</t>
        </is>
      </c>
      <c r="K26" s="16" t="inlineStr">
        <is>
          <t>Automated – tools/security/security-checks.mjs</t>
        </is>
      </c>
      <c r="L26" s="17" t="inlineStr">
        <is>
          <t>Passed</t>
        </is>
      </c>
      <c r="M26" s="16" t="inlineStr">
        <is>
          <t>security-checks.json: SEC-07 PASS (2 Oct 2026 14:57 UTC); evidence summarised in the Security Assessment Report</t>
        </is>
      </c>
      <c r="N26" s="16" t="inlineStr">
        <is>
          <t>2 Oct 2026 14:57 UTC</t>
        </is>
      </c>
      <c r="O26" s="16" t="inlineStr">
        <is>
          <t>iorta QA (security-checks.mjs)</t>
        </is>
      </c>
      <c r="P26" s="16" t="inlineStr"/>
    </row>
    <row r="27">
      <c r="A27" s="15" t="inlineStr">
        <is>
          <t>CS-0026</t>
        </is>
      </c>
      <c r="B27" s="15" t="inlineStr">
        <is>
          <t>TS-03</t>
        </is>
      </c>
      <c r="C27" s="15" t="inlineStr">
        <is>
          <t>TC-015</t>
        </is>
      </c>
      <c r="D27" s="15" t="inlineStr">
        <is>
          <t>AUT</t>
        </is>
      </c>
      <c r="E27" s="16" t="inlineStr">
        <is>
          <t>Signing in again ends the earlier session (single active session)</t>
        </is>
      </c>
      <c r="F27" s="16" t="inlineStr">
        <is>
          <t>ag-000003</t>
        </is>
      </c>
      <c r="G27" s="16" t="inlineStr">
        <is>
          <t>1. Sign in twice as ag-000003
2. GET /api/v1/auth/me with the first cookie</t>
        </is>
      </c>
      <c r="H27" s="16" t="inlineStr">
        <is>
          <t>security.session.single_active = true</t>
        </is>
      </c>
      <c r="I27" s="16" t="inlineStr">
        <is>
          <t>The first session receives 401 NOT_AUTHENTICATED after the second sign-in</t>
        </is>
      </c>
      <c r="J27" s="15" t="inlineStr">
        <is>
          <t>API</t>
        </is>
      </c>
      <c r="K27" s="16" t="inlineStr">
        <is>
          <t>Executed – API run (tools/testing/api-test-run.mjs)</t>
        </is>
      </c>
      <c r="L27" s="17" t="inlineStr">
        <is>
          <t>Passed</t>
        </is>
      </c>
      <c r="M27" s="16" t="inlineStr">
        <is>
          <t>api-test-run.json EX-008: Two sign-ins as ag-000003, then GET /api/v1/auth/me with the first cookie → 401 NOT_AUTHENTICATED – Please sign in</t>
        </is>
      </c>
      <c r="N27" s="16" t="inlineStr">
        <is>
          <t>2 Oct 2026 22:12 UTC</t>
        </is>
      </c>
      <c r="O27" s="16" t="inlineStr">
        <is>
          <t>iorta TechNXT QA (API run)</t>
        </is>
      </c>
      <c r="P27" s="16" t="inlineStr"/>
    </row>
    <row r="28">
      <c r="A28" s="15" t="inlineStr">
        <is>
          <t>CS-0027</t>
        </is>
      </c>
      <c r="B28" s="15" t="inlineStr">
        <is>
          <t>TS-03</t>
        </is>
      </c>
      <c r="C28" s="15" t="inlineStr">
        <is>
          <t>TC-015</t>
        </is>
      </c>
      <c r="D28" s="15" t="inlineStr">
        <is>
          <t>AUT</t>
        </is>
      </c>
      <c r="E28" s="16" t="inlineStr">
        <is>
          <t>State-changing request without the CSRF token is refused</t>
        </is>
      </c>
      <c r="F28" s="16" t="inlineStr">
        <is>
          <t>ag-000001</t>
        </is>
      </c>
      <c r="G28" s="16" t="inlineStr">
        <is>
          <t>1. POST /api/v1/common/notifications/read-all without x-csrf-token
2. Repeat with a forged token
3. Repeat with the session's token</t>
        </is>
      </c>
      <c r="H28" s="16" t="inlineStr">
        <is>
          <t>Session of ag-000001</t>
        </is>
      </c>
      <c r="I28" s="16" t="inlineStr">
        <is>
          <t>HTTP 403 CSRF_TOKEN_INVALID without token and with a forged token; 204 with the session token</t>
        </is>
      </c>
      <c r="J28" s="15" t="inlineStr">
        <is>
          <t>API</t>
        </is>
      </c>
      <c r="K28" s="16" t="inlineStr">
        <is>
          <t>Executed – API run (tools/testing/api-test-run.mjs)</t>
        </is>
      </c>
      <c r="L28" s="17" t="inlineStr">
        <is>
          <t>Passed</t>
        </is>
      </c>
      <c r="M28" s="16" t="inlineStr">
        <is>
          <t>api-test-run.json EX-003: POST /api/v1/common/notifications/read-all (no token; forged token; session token) → 403 CSRF_TOKEN_INVALID – Security token missing or invalid. Refresh the page. | 403 CSRF_TOKEN_INVALID – Security token missing or invalid. Refresh the page. | 204</t>
        </is>
      </c>
      <c r="N28" s="16" t="inlineStr">
        <is>
          <t>2 Oct 2026 22:12 UTC</t>
        </is>
      </c>
      <c r="O28" s="16" t="inlineStr">
        <is>
          <t>iorta TechNXT QA (API run)</t>
        </is>
      </c>
      <c r="P28" s="16" t="inlineStr"/>
    </row>
    <row r="29">
      <c r="A29" s="15" t="inlineStr">
        <is>
          <t>CS-0028</t>
        </is>
      </c>
      <c r="B29" s="15" t="inlineStr">
        <is>
          <t>TS-03</t>
        </is>
      </c>
      <c r="C29" s="15" t="inlineStr">
        <is>
          <t>TC-015</t>
        </is>
      </c>
      <c r="D29" s="15" t="inlineStr">
        <is>
          <t>AUT</t>
        </is>
      </c>
      <c r="E29" s="16" t="inlineStr">
        <is>
          <t>CSRF token required on state-changing requests (suite)</t>
        </is>
      </c>
      <c r="F29" s="16" t="inlineStr">
        <is>
          <t>finance, support, ag-000001..3, admin</t>
        </is>
      </c>
      <c r="G29" s="16" t="inlineStr">
        <is>
          <t>1. Run `npm run test:e2e -w apps/api` (rebuilds the iift_test database from the migrations and seeds)
2. POST read-all without, with forged, with real token</t>
        </is>
      </c>
      <c r="H29" s="16" t="inlineStr">
        <is>
          <t>ag-000001</t>
        </is>
      </c>
      <c r="I29" s="16" t="inlineStr">
        <is>
          <t>403 CSRF_TOKEN_INVALID; 403; 204</t>
        </is>
      </c>
      <c r="J29" s="15" t="inlineStr">
        <is>
          <t>E2E</t>
        </is>
      </c>
      <c r="K29" s="16" t="inlineStr">
        <is>
          <t>Automated – apps/api/test/auth.e2e-spec.ts › requires the CSRF token on state-changing requests</t>
        </is>
      </c>
      <c r="L29" s="17" t="inlineStr">
        <is>
          <t>Passed</t>
        </is>
      </c>
      <c r="M29" s="16" t="inlineStr">
        <is>
          <t>api-e2e-tests.json: 'Authentication and session security (AP-01..04, BO-01) requires the CSRF token on state-changing requests' passed (2 Oct 2026 14:55 UTC); test-reruns.json: passed (2 Oct 2026 22:00 UTC)</t>
        </is>
      </c>
      <c r="N29" s="16" t="inlineStr">
        <is>
          <t>2 Oct 2026 22:00 UTC</t>
        </is>
      </c>
      <c r="O29" s="16" t="inlineStr">
        <is>
          <t>iorta QA (Vitest e2e, iift_test database)</t>
        </is>
      </c>
      <c r="P29" s="16" t="inlineStr"/>
    </row>
    <row r="30">
      <c r="A30" s="15" t="inlineStr">
        <is>
          <t>CS-0029</t>
        </is>
      </c>
      <c r="B30" s="15" t="inlineStr">
        <is>
          <t>TS-03</t>
        </is>
      </c>
      <c r="C30" s="15" t="inlineStr">
        <is>
          <t>TC-015</t>
        </is>
      </c>
      <c r="D30" s="15" t="inlineStr">
        <is>
          <t>AUT</t>
        </is>
      </c>
      <c r="E30" s="16" t="inlineStr">
        <is>
          <t>Single active session (suite)</t>
        </is>
      </c>
      <c r="F30" s="16" t="inlineStr">
        <is>
          <t>finance, support, ag-000001..3, admin</t>
        </is>
      </c>
      <c r="G30" s="16" t="inlineStr">
        <is>
          <t>1. Run `npm run test:e2e -w apps/api` (rebuilds the iift_test database from the migrations and seeds)
2. Sign in twice as ag-000003; use the first cookie</t>
        </is>
      </c>
      <c r="H30" s="16" t="inlineStr">
        <is>
          <t>ag-000003</t>
        </is>
      </c>
      <c r="I30" s="16" t="inlineStr">
        <is>
          <t>401 NOT_AUTHENTICATED on the first session</t>
        </is>
      </c>
      <c r="J30" s="15" t="inlineStr">
        <is>
          <t>E2E</t>
        </is>
      </c>
      <c r="K30" s="16" t="inlineStr">
        <is>
          <t>Automated – apps/api/test/auth.e2e-spec.ts › keeps only one active session per user</t>
        </is>
      </c>
      <c r="L30" s="17" t="inlineStr">
        <is>
          <t>Passed</t>
        </is>
      </c>
      <c r="M30" s="16" t="inlineStr">
        <is>
          <t>api-e2e-tests.json: 'Authentication and session security (AP-01..04, BO-01) keeps only one active session per user' passed (2 Oct 2026 14:55 UTC); test-reruns.json: passed (2 Oct 2026 22:00 UTC)</t>
        </is>
      </c>
      <c r="N30" s="16" t="inlineStr">
        <is>
          <t>2 Oct 2026 22:00 UTC</t>
        </is>
      </c>
      <c r="O30" s="16" t="inlineStr">
        <is>
          <t>iorta QA (Vitest e2e, iift_test database)</t>
        </is>
      </c>
      <c r="P30" s="16" t="inlineStr"/>
    </row>
    <row r="31">
      <c r="A31" s="15" t="inlineStr">
        <is>
          <t>CS-0030</t>
        </is>
      </c>
      <c r="B31" s="15" t="inlineStr">
        <is>
          <t>TS-03</t>
        </is>
      </c>
      <c r="C31" s="15" t="inlineStr">
        <is>
          <t>TC-015</t>
        </is>
      </c>
      <c r="D31" s="15" t="inlineStr">
        <is>
          <t>AUT</t>
        </is>
      </c>
      <c r="E31" s="16" t="inlineStr">
        <is>
          <t>SEC-15 (OWASP A01): State-changing requests require the session’s own CSRF token</t>
        </is>
      </c>
      <c r="F31" s="16" t="inlineStr">
        <is>
          <t>Security tester</t>
        </is>
      </c>
      <c r="G31" s="16" t="inlineStr">
        <is>
          <t>1. Run `node tools/security/security-checks.mjs` against a fresh non-production instance with demonstration data
2. Read the result of SEC-15</t>
        </is>
      </c>
      <c r="H31" s="16" t="inlineStr">
        <is>
          <t>Demonstration users and records; crafted payloads as described in the script</t>
        </is>
      </c>
      <c r="I31" s="16" t="inlineStr">
        <is>
          <t>403 without the session's own CSRF token</t>
        </is>
      </c>
      <c r="J31" s="15" t="inlineStr">
        <is>
          <t>Security</t>
        </is>
      </c>
      <c r="K31" s="16" t="inlineStr">
        <is>
          <t>Automated – tools/security/security-checks.mjs</t>
        </is>
      </c>
      <c r="L31" s="17" t="inlineStr">
        <is>
          <t>Passed</t>
        </is>
      </c>
      <c r="M31" s="16" t="inlineStr">
        <is>
          <t>security-checks.json: SEC-15 PASS (2 Oct 2026 14:57 UTC); evidence summarised in the Security Assessment Report</t>
        </is>
      </c>
      <c r="N31" s="16" t="inlineStr">
        <is>
          <t>2 Oct 2026 14:57 UTC</t>
        </is>
      </c>
      <c r="O31" s="16" t="inlineStr">
        <is>
          <t>iorta QA (security-checks.mjs)</t>
        </is>
      </c>
      <c r="P31" s="16" t="inlineStr"/>
    </row>
    <row r="32">
      <c r="A32" s="15" t="inlineStr">
        <is>
          <t>CS-0031</t>
        </is>
      </c>
      <c r="B32" s="15" t="inlineStr">
        <is>
          <t>TS-03</t>
        </is>
      </c>
      <c r="C32" s="15" t="inlineStr">
        <is>
          <t>TC-016</t>
        </is>
      </c>
      <c r="D32" s="15" t="inlineStr">
        <is>
          <t>AUT</t>
        </is>
      </c>
      <c r="E32" s="16" t="inlineStr">
        <is>
          <t>Idle timeout ends the session after 15 minutes</t>
        </is>
      </c>
      <c r="F32" s="16" t="inlineStr">
        <is>
          <t>Any user</t>
        </is>
      </c>
      <c r="G32" s="16" t="inlineStr">
        <is>
          <t>1. Sign in
2. Leave the browser idle for 16 minutes
3. Click any navigation</t>
        </is>
      </c>
      <c r="H32" s="16" t="inlineStr">
        <is>
          <t>security.session.idle_minutes = 15</t>
        </is>
      </c>
      <c r="I32" s="16" t="inlineStr">
        <is>
          <t>Redirected to sign-in with 'session ended'; API answers 401</t>
        </is>
      </c>
      <c r="J32" s="15" t="inlineStr">
        <is>
          <t>UI</t>
        </is>
      </c>
      <c r="K32" s="16" t="inlineStr">
        <is>
          <t>Not automated</t>
        </is>
      </c>
      <c r="L32" s="18" t="inlineStr">
        <is>
          <t>Not executed</t>
        </is>
      </c>
      <c r="M32" s="16" t="inlineStr">
        <is>
          <t>Not executed – time-based; scheduled for SIT regression (Playwright) in week 16</t>
        </is>
      </c>
      <c r="N32" s="16" t="inlineStr"/>
      <c r="O32" s="16" t="inlineStr"/>
      <c r="P32" s="16" t="inlineStr"/>
    </row>
    <row r="33">
      <c r="A33" s="15" t="inlineStr">
        <is>
          <t>CS-0032</t>
        </is>
      </c>
      <c r="B33" s="15" t="inlineStr">
        <is>
          <t>TS-03</t>
        </is>
      </c>
      <c r="C33" s="15" t="inlineStr">
        <is>
          <t>TC-016</t>
        </is>
      </c>
      <c r="D33" s="15" t="inlineStr">
        <is>
          <t>AUT</t>
        </is>
      </c>
      <c r="E33" s="16" t="inlineStr">
        <is>
          <t>Absolute timeout ends the session after 8 hours</t>
        </is>
      </c>
      <c r="F33" s="16" t="inlineStr">
        <is>
          <t>Any user</t>
        </is>
      </c>
      <c r="G33" s="16" t="inlineStr">
        <is>
          <t>1. Keep a session active with periodic requests for 8 h</t>
        </is>
      </c>
      <c r="H33" s="16" t="inlineStr">
        <is>
          <t>security.session.absolute_hours = 8</t>
        </is>
      </c>
      <c r="I33" s="16" t="inlineStr">
        <is>
          <t>Session ends at 8 h regardless of activity</t>
        </is>
      </c>
      <c r="J33" s="15" t="inlineStr">
        <is>
          <t>SIT</t>
        </is>
      </c>
      <c r="K33" s="16" t="inlineStr">
        <is>
          <t>Not automated</t>
        </is>
      </c>
      <c r="L33" s="18" t="inlineStr">
        <is>
          <t>Not executed</t>
        </is>
      </c>
      <c r="M33" s="16" t="inlineStr">
        <is>
          <t>Not executed – time-based; SIT soak run</t>
        </is>
      </c>
      <c r="N33" s="16" t="inlineStr"/>
      <c r="O33" s="16" t="inlineStr"/>
      <c r="P33" s="16" t="inlineStr"/>
    </row>
    <row r="34">
      <c r="A34" s="15" t="inlineStr">
        <is>
          <t>CS-0033</t>
        </is>
      </c>
      <c r="B34" s="15" t="inlineStr">
        <is>
          <t>TS-04</t>
        </is>
      </c>
      <c r="C34" s="15" t="inlineStr">
        <is>
          <t>TC-017</t>
        </is>
      </c>
      <c r="D34" s="15" t="inlineStr">
        <is>
          <t>AUT</t>
        </is>
      </c>
      <c r="E34" s="16" t="inlineStr">
        <is>
          <t>Lockout after five failed attempts (suite)</t>
        </is>
      </c>
      <c r="F34" s="16" t="inlineStr">
        <is>
          <t>finance, support, ag-000001..3, admin</t>
        </is>
      </c>
      <c r="G34" s="16" t="inlineStr">
        <is>
          <t>1. Run `npm run test:e2e -w apps/api` (rebuilds the iift_test database from the migrations and seeds)
2. 5 wrong passwords for support
3. Correct password</t>
        </is>
      </c>
      <c r="H34" s="16" t="inlineStr">
        <is>
          <t>support</t>
        </is>
      </c>
      <c r="I34" s="16" t="inlineStr">
        <is>
          <t>Sixth attempt 401 ACCOUNT_LOCKED</t>
        </is>
      </c>
      <c r="J34" s="15" t="inlineStr">
        <is>
          <t>E2E</t>
        </is>
      </c>
      <c r="K34" s="16" t="inlineStr">
        <is>
          <t>Automated – apps/api/test/auth.e2e-spec.ts › locks the account after the configured number of failed attempts</t>
        </is>
      </c>
      <c r="L34" s="17" t="inlineStr">
        <is>
          <t>Passed</t>
        </is>
      </c>
      <c r="M34" s="16" t="inlineStr">
        <is>
          <t>api-e2e-tests.json: 'Authentication and session security (AP-01..04, BO-01) locks the account after the configured number of failed attempts' passed (2 Oct 2026 14:55 UTC); test-reruns.json: passed (2 Oct 2026 22:00 UTC)</t>
        </is>
      </c>
      <c r="N34" s="16" t="inlineStr">
        <is>
          <t>2 Oct 2026 22:00 UTC</t>
        </is>
      </c>
      <c r="O34" s="16" t="inlineStr">
        <is>
          <t>iorta QA (Vitest e2e, iift_test database)</t>
        </is>
      </c>
      <c r="P34" s="16" t="inlineStr"/>
    </row>
    <row r="35">
      <c r="A35" s="15" t="inlineStr">
        <is>
          <t>CS-0034</t>
        </is>
      </c>
      <c r="B35" s="15" t="inlineStr">
        <is>
          <t>TS-04</t>
        </is>
      </c>
      <c r="C35" s="15" t="inlineStr">
        <is>
          <t>TC-018</t>
        </is>
      </c>
      <c r="D35" s="15" t="inlineStr">
        <is>
          <t>AUT</t>
        </is>
      </c>
      <c r="E35" s="16" t="inlineStr">
        <is>
          <t>Account lockout after the configured failed attempts; administrator unlock</t>
        </is>
      </c>
      <c r="F35" s="16" t="inlineStr">
        <is>
          <t>qa user, manager</t>
        </is>
      </c>
      <c r="G35" s="16" t="inlineStr">
        <is>
          <t>1. Wait 61 s for the sign-in rate limit
2. POST /api/v1/auth/login 5× with a wrong password for the user of EX-110
3. POST with the temporary password
4. As manager POST users/{id}/unlock
5. Sign in; GET /api/v1/backoffice/users
6. Disable the test user</t>
        </is>
      </c>
      <c r="H35" s="16" t="inlineStr">
        <is>
          <t>security.lockout.max_attempts = 5</t>
        </is>
      </c>
      <c r="I35" s="16" t="inlineStr">
        <is>
          <t>5 wrong passwords → 401; the correct password then → 401 ACCOUNT_LOCKED; unlock → 200; sign-in → 200 and back-office access refused with 403 PASSWORD_CHANGE_REQUIRED until the temporary password is changed</t>
        </is>
      </c>
      <c r="J35" s="15" t="inlineStr">
        <is>
          <t>API</t>
        </is>
      </c>
      <c r="K35" s="16" t="inlineStr">
        <is>
          <t>Executed – API run (tools/testing/api-test-run.mjs)</t>
        </is>
      </c>
      <c r="L35" s="17" t="inlineStr">
        <is>
          <t>Passed</t>
        </is>
      </c>
      <c r="M35" s="16" t="inlineStr">
        <is>
          <t>api-test-run.json EX-133: POST /api/v1/auth/login ×6; POST /api/v1/backoffice/users/{id}/unlock; sign-in; GET /api/v1/backoffice/users; disable the test user → 401,401,401,401,401 | 401 ACCOUNT_LOCKED – Your account is temporarily locked after repeated failed sign-in attempts. Try again later or contact the administrator. | unlock 200 | sign-in 200 mustChangePassword=true | 403 PASSWORD_CHANGE_REQUIRED – You must change your password before continuing | disabled 200</t>
        </is>
      </c>
      <c r="N35" s="16" t="inlineStr">
        <is>
          <t>2 Oct 2026 22:14 UTC</t>
        </is>
      </c>
      <c r="O35" s="16" t="inlineStr">
        <is>
          <t>iorta TechNXT QA (API run)</t>
        </is>
      </c>
      <c r="P35" s="16" t="inlineStr"/>
    </row>
    <row r="36">
      <c r="A36" s="15" t="inlineStr">
        <is>
          <t>CS-0035</t>
        </is>
      </c>
      <c r="B36" s="15" t="inlineStr">
        <is>
          <t>TS-05</t>
        </is>
      </c>
      <c r="C36" s="15" t="inlineStr">
        <is>
          <t>TC-019</t>
        </is>
      </c>
      <c r="D36" s="15" t="inlineStr">
        <is>
          <t>AUT</t>
        </is>
      </c>
      <c r="E36" s="16" t="inlineStr">
        <is>
          <t>LDAP filter escaping</t>
        </is>
      </c>
      <c r="F36" s="16" t="inlineStr">
        <is>
          <t>Anonymous</t>
        </is>
      </c>
      <c r="G36" s="16" t="inlineStr">
        <is>
          <t>1. Sign in with user name 'admin)(objectClass=*'</t>
        </is>
      </c>
      <c r="H36" s="16" t="inlineStr">
        <is>
          <t>LDAP characters</t>
        </is>
      </c>
      <c r="I36" s="16" t="inlineStr">
        <is>
          <t>401; directory query not altered</t>
        </is>
      </c>
      <c r="J36" s="15" t="inlineStr">
        <is>
          <t>Security</t>
        </is>
      </c>
      <c r="K36" s="16" t="inlineStr">
        <is>
          <t>Not automated</t>
        </is>
      </c>
      <c r="L36" s="18" t="inlineStr">
        <is>
          <t>Not executed</t>
        </is>
      </c>
      <c r="M36" s="16" t="inlineStr">
        <is>
          <t>Not executed in this run; covered by automated check SEC-19</t>
        </is>
      </c>
      <c r="N36" s="16" t="inlineStr"/>
      <c r="O36" s="16" t="inlineStr"/>
      <c r="P36" s="16" t="inlineStr"/>
    </row>
    <row r="37">
      <c r="A37" s="15" t="inlineStr">
        <is>
          <t>CS-0036</t>
        </is>
      </c>
      <c r="B37" s="15" t="inlineStr">
        <is>
          <t>TS-05</t>
        </is>
      </c>
      <c r="C37" s="15" t="inlineStr">
        <is>
          <t>TC-019</t>
        </is>
      </c>
      <c r="D37" s="15" t="inlineStr">
        <is>
          <t>AUT</t>
        </is>
      </c>
      <c r="E37" s="16" t="inlineStr">
        <is>
          <t>SEC-19 (OWASP A03): LDAP filter characters in usernames do not alter directory queries</t>
        </is>
      </c>
      <c r="F37" s="16" t="inlineStr">
        <is>
          <t>Security tester</t>
        </is>
      </c>
      <c r="G37" s="16" t="inlineStr">
        <is>
          <t>1. Run `node tools/security/security-checks.mjs` against a fresh non-production instance with demonstration data
2. Read the result of SEC-19</t>
        </is>
      </c>
      <c r="H37" s="16" t="inlineStr">
        <is>
          <t>Demonstration users and records; crafted payloads as described in the script</t>
        </is>
      </c>
      <c r="I37" s="16" t="inlineStr">
        <is>
          <t>401; LDAP filter characters escaped</t>
        </is>
      </c>
      <c r="J37" s="15" t="inlineStr">
        <is>
          <t>Security</t>
        </is>
      </c>
      <c r="K37" s="16" t="inlineStr">
        <is>
          <t>Automated – tools/security/security-checks.mjs</t>
        </is>
      </c>
      <c r="L37" s="17" t="inlineStr">
        <is>
          <t>Passed</t>
        </is>
      </c>
      <c r="M37" s="16" t="inlineStr">
        <is>
          <t>security-checks.json: SEC-19 PASS (2 Oct 2026 14:57 UTC); evidence summarised in the Security Assessment Report</t>
        </is>
      </c>
      <c r="N37" s="16" t="inlineStr">
        <is>
          <t>2 Oct 2026 14:57 UTC</t>
        </is>
      </c>
      <c r="O37" s="16" t="inlineStr">
        <is>
          <t>iorta QA (security-checks.mjs)</t>
        </is>
      </c>
      <c r="P37" s="16" t="inlineStr"/>
    </row>
    <row r="38">
      <c r="A38" s="15" t="inlineStr">
        <is>
          <t>CS-0037</t>
        </is>
      </c>
      <c r="B38" s="15" t="inlineStr">
        <is>
          <t>TS-05</t>
        </is>
      </c>
      <c r="C38" s="15" t="inlineStr">
        <is>
          <t>TC-020</t>
        </is>
      </c>
      <c r="D38" s="15" t="inlineStr">
        <is>
          <t>AUT</t>
        </is>
      </c>
      <c r="E38" s="16" t="inlineStr">
        <is>
          <t>Back-office sign-on through IIFT Active Directory</t>
        </is>
      </c>
      <c r="F38" s="16" t="inlineStr">
        <is>
          <t>IIFT staff</t>
        </is>
      </c>
      <c r="G38" s="16" t="inlineStr">
        <is>
          <t>1. Configure LDAP_URL and bind account
2. Sign in with a directory user
3. Attempt a reset</t>
        </is>
      </c>
      <c r="H38" s="16" t="inlineStr">
        <is>
          <t>IITH AD test OU</t>
        </is>
      </c>
      <c r="I38" s="16" t="inlineStr">
        <is>
          <t>Directory user signs in; reset refused with DIRECTORY_ACCOUNT</t>
        </is>
      </c>
      <c r="J38" s="15" t="inlineStr">
        <is>
          <t>SIT</t>
        </is>
      </c>
      <c r="K38" s="16" t="inlineStr">
        <is>
          <t>Not automated</t>
        </is>
      </c>
      <c r="L38" s="18" t="inlineStr">
        <is>
          <t>Not executed</t>
        </is>
      </c>
      <c r="M38" s="16" t="inlineStr">
        <is>
          <t>Not executed – requires IIFT environment (LDAP endpoint)</t>
        </is>
      </c>
      <c r="N38" s="16" t="inlineStr"/>
      <c r="O38" s="16" t="inlineStr"/>
      <c r="P38" s="16" t="inlineStr"/>
    </row>
    <row r="39">
      <c r="A39" s="15" t="inlineStr">
        <is>
          <t>CS-0038</t>
        </is>
      </c>
      <c r="B39" s="15" t="inlineStr">
        <is>
          <t>TS-06</t>
        </is>
      </c>
      <c r="C39" s="15" t="inlineStr">
        <is>
          <t>TC-021</t>
        </is>
      </c>
      <c r="D39" s="15" t="inlineStr">
        <is>
          <t>ACC</t>
        </is>
      </c>
      <c r="E39" s="16" t="inlineStr">
        <is>
          <t>Unauthenticated request refused (suite)</t>
        </is>
      </c>
      <c r="F39" s="16" t="inlineStr">
        <is>
          <t>ag-000001..3, finance, ops.maker, manager, system</t>
        </is>
      </c>
      <c r="G39" s="16" t="inlineStr">
        <is>
          <t>1. Run `npm run test:e2e -w apps/api` (rebuilds the iift_test database from the migrations and seeds)
2. GET /portal/policies without a session</t>
        </is>
      </c>
      <c r="H39" s="16" t="inlineStr">
        <is>
          <t>None</t>
        </is>
      </c>
      <c r="I39" s="16" t="inlineStr">
        <is>
          <t>401 NOT_AUTHENTICATED</t>
        </is>
      </c>
      <c r="J39" s="15" t="inlineStr">
        <is>
          <t>E2E</t>
        </is>
      </c>
      <c r="K39" s="16" t="inlineStr">
        <is>
          <t>Automated – apps/api/test/access-control.e2e-spec.ts › rejects unauthenticated requests</t>
        </is>
      </c>
      <c r="L39" s="17" t="inlineStr">
        <is>
          <t>Passed</t>
        </is>
      </c>
      <c r="M39" s="16" t="inlineStr">
        <is>
          <t>api-e2e-tests.json: 'Access control and input handling (AP-59, BO-02, COM-02, NFR-10/14/15) rejects unauthenticated requests' passed (2 Oct 2026 14:55 UTC); test-reruns.json: passed (2 Oct 2026 22:00 UTC)</t>
        </is>
      </c>
      <c r="N39" s="16" t="inlineStr">
        <is>
          <t>2 Oct 2026 22:00 UTC</t>
        </is>
      </c>
      <c r="O39" s="16" t="inlineStr">
        <is>
          <t>iorta QA (Vitest e2e, iift_test database)</t>
        </is>
      </c>
      <c r="P39" s="16" t="inlineStr"/>
    </row>
    <row r="40">
      <c r="A40" s="15" t="inlineStr">
        <is>
          <t>CS-0039</t>
        </is>
      </c>
      <c r="B40" s="15" t="inlineStr">
        <is>
          <t>TS-06</t>
        </is>
      </c>
      <c r="C40" s="15" t="inlineStr">
        <is>
          <t>TC-021</t>
        </is>
      </c>
      <c r="D40" s="15" t="inlineStr">
        <is>
          <t>ACC</t>
        </is>
      </c>
      <c r="E40" s="16" t="inlineStr">
        <is>
          <t>SEC-09 (OWASP A01): Protected endpoints require a session</t>
        </is>
      </c>
      <c r="F40" s="16" t="inlineStr">
        <is>
          <t>Security tester</t>
        </is>
      </c>
      <c r="G40" s="16" t="inlineStr">
        <is>
          <t>1. Run `node tools/security/security-checks.mjs` against a fresh non-production instance with demonstration data
2. Read the result of SEC-09</t>
        </is>
      </c>
      <c r="H40" s="16" t="inlineStr">
        <is>
          <t>Demonstration users and records; crafted payloads as described in the script</t>
        </is>
      </c>
      <c r="I40" s="16" t="inlineStr">
        <is>
          <t>401 without a session</t>
        </is>
      </c>
      <c r="J40" s="15" t="inlineStr">
        <is>
          <t>Security</t>
        </is>
      </c>
      <c r="K40" s="16" t="inlineStr">
        <is>
          <t>Automated – tools/security/security-checks.mjs</t>
        </is>
      </c>
      <c r="L40" s="17" t="inlineStr">
        <is>
          <t>Passed</t>
        </is>
      </c>
      <c r="M40" s="16" t="inlineStr">
        <is>
          <t>security-checks.json: SEC-09 PASS (2 Oct 2026 14:57 UTC); evidence summarised in the Security Assessment Report</t>
        </is>
      </c>
      <c r="N40" s="16" t="inlineStr">
        <is>
          <t>2 Oct 2026 14:57 UTC</t>
        </is>
      </c>
      <c r="O40" s="16" t="inlineStr">
        <is>
          <t>iorta QA (security-checks.mjs)</t>
        </is>
      </c>
      <c r="P40" s="16" t="inlineStr"/>
    </row>
    <row r="41">
      <c r="A41" s="15" t="inlineStr">
        <is>
          <t>CS-0040</t>
        </is>
      </c>
      <c r="B41" s="15" t="inlineStr">
        <is>
          <t>TS-06</t>
        </is>
      </c>
      <c r="C41" s="15" t="inlineStr">
        <is>
          <t>TC-022</t>
        </is>
      </c>
      <c r="D41" s="15" t="inlineStr">
        <is>
          <t>ACC</t>
        </is>
      </c>
      <c r="E41" s="16" t="inlineStr">
        <is>
          <t>Portal user cannot call back-office routes and vice versa</t>
        </is>
      </c>
      <c r="F41" s="16" t="inlineStr">
        <is>
          <t>ag-000001, finance</t>
        </is>
      </c>
      <c r="G41" s="16" t="inlineStr">
        <is>
          <t>1. As ag-000001 GET /api/v1/backoffice/agents
2. As finance GET /api/v1/portal/policies</t>
        </is>
      </c>
      <c r="H41" s="16" t="inlineStr">
        <is>
          <t>Portal and back-office sessions</t>
        </is>
      </c>
      <c r="I41" s="16" t="inlineStr">
        <is>
          <t>HTTP 403 WRONG_AUDIENCE in both directions</t>
        </is>
      </c>
      <c r="J41" s="15" t="inlineStr">
        <is>
          <t>API</t>
        </is>
      </c>
      <c r="K41" s="16" t="inlineStr">
        <is>
          <t>Executed – API run (tools/testing/api-test-run.mjs)</t>
        </is>
      </c>
      <c r="L41" s="17" t="inlineStr">
        <is>
          <t>Passed</t>
        </is>
      </c>
      <c r="M41" s="16" t="inlineStr">
        <is>
          <t>api-test-run.json EX-004: GET /api/v1/backoffice/agents as agent; GET /api/v1/portal/policies as finance → 403 WRONG_AUDIENCE – This function is not available to your account type | 403 WRONG_AUDIENCE – This function is not available to your account type</t>
        </is>
      </c>
      <c r="N41" s="16" t="inlineStr">
        <is>
          <t>2 Oct 2026 22:12 UTC</t>
        </is>
      </c>
      <c r="O41" s="16" t="inlineStr">
        <is>
          <t>iorta TechNXT QA (API run)</t>
        </is>
      </c>
      <c r="P41" s="16" t="inlineStr"/>
    </row>
    <row r="42">
      <c r="A42" s="15" t="inlineStr">
        <is>
          <t>CS-0041</t>
        </is>
      </c>
      <c r="B42" s="15" t="inlineStr">
        <is>
          <t>TS-06</t>
        </is>
      </c>
      <c r="C42" s="15" t="inlineStr">
        <is>
          <t>TC-022</t>
        </is>
      </c>
      <c r="D42" s="15" t="inlineStr">
        <is>
          <t>ACC</t>
        </is>
      </c>
      <c r="E42" s="16" t="inlineStr">
        <is>
          <t>Audience separation (suite)</t>
        </is>
      </c>
      <c r="F42" s="16" t="inlineStr">
        <is>
          <t>ag-000001..3, finance, ops.maker, manager, system</t>
        </is>
      </c>
      <c r="G42" s="16" t="inlineStr">
        <is>
          <t>1. Run `npm run test:e2e -w apps/api` (rebuilds the iift_test database from the migrations and seeds)
2. Agent calls back-office; finance calls portal</t>
        </is>
      </c>
      <c r="H42" s="16" t="inlineStr">
        <is>
          <t>ag-000001, finance</t>
        </is>
      </c>
      <c r="I42" s="16" t="inlineStr">
        <is>
          <t>403 WRONG_AUDIENCE both ways</t>
        </is>
      </c>
      <c r="J42" s="15" t="inlineStr">
        <is>
          <t>E2E</t>
        </is>
      </c>
      <c r="K42" s="16" t="inlineStr">
        <is>
          <t>Automated – apps/api/test/access-control.e2e-spec.ts › keeps portal users out of the back-office API and vice versa</t>
        </is>
      </c>
      <c r="L42" s="17" t="inlineStr">
        <is>
          <t>Passed</t>
        </is>
      </c>
      <c r="M42" s="16" t="inlineStr">
        <is>
          <t>api-e2e-tests.json: 'Access control and input handling (AP-59, BO-02, COM-02, NFR-10/14/15) keeps portal users out of the back-office API and vice versa' passed (2 Oct 2026 14:55 UTC); test-reruns.json: passed (2 Oct 2026 22:00 UTC)</t>
        </is>
      </c>
      <c r="N42" s="16" t="inlineStr">
        <is>
          <t>2 Oct 2026 22:00 UTC</t>
        </is>
      </c>
      <c r="O42" s="16" t="inlineStr">
        <is>
          <t>iorta QA (Vitest e2e, iift_test database)</t>
        </is>
      </c>
      <c r="P42" s="16" t="inlineStr"/>
    </row>
    <row r="43">
      <c r="A43" s="15" t="inlineStr">
        <is>
          <t>CS-0042</t>
        </is>
      </c>
      <c r="B43" s="15" t="inlineStr">
        <is>
          <t>TS-06</t>
        </is>
      </c>
      <c r="C43" s="15" t="inlineStr">
        <is>
          <t>TC-022</t>
        </is>
      </c>
      <c r="D43" s="15" t="inlineStr">
        <is>
          <t>ACC</t>
        </is>
      </c>
      <c r="E43" s="16" t="inlineStr">
        <is>
          <t>SEC-10 (OWASP A01): Portal users cannot call back-office APIs</t>
        </is>
      </c>
      <c r="F43" s="16" t="inlineStr">
        <is>
          <t>Security tester</t>
        </is>
      </c>
      <c r="G43" s="16" t="inlineStr">
        <is>
          <t>1. Run `node tools/security/security-checks.mjs` against a fresh non-production instance with demonstration data
2. Read the result of SEC-10</t>
        </is>
      </c>
      <c r="H43" s="16" t="inlineStr">
        <is>
          <t>Demonstration users and records; crafted payloads as described in the script</t>
        </is>
      </c>
      <c r="I43" s="16" t="inlineStr">
        <is>
          <t>403 WRONG_AUDIENCE for portal users on back-office routes</t>
        </is>
      </c>
      <c r="J43" s="15" t="inlineStr">
        <is>
          <t>Security</t>
        </is>
      </c>
      <c r="K43" s="16" t="inlineStr">
        <is>
          <t>Automated – tools/security/security-checks.mjs</t>
        </is>
      </c>
      <c r="L43" s="17" t="inlineStr">
        <is>
          <t>Passed</t>
        </is>
      </c>
      <c r="M43" s="16" t="inlineStr">
        <is>
          <t>security-checks.json: SEC-10 PASS (2 Oct 2026 14:57 UTC); evidence summarised in the Security Assessment Report</t>
        </is>
      </c>
      <c r="N43" s="16" t="inlineStr">
        <is>
          <t>2 Oct 2026 14:57 UTC</t>
        </is>
      </c>
      <c r="O43" s="16" t="inlineStr">
        <is>
          <t>iorta QA (security-checks.mjs)</t>
        </is>
      </c>
      <c r="P43" s="16" t="inlineStr"/>
    </row>
    <row r="44">
      <c r="A44" s="15" t="inlineStr">
        <is>
          <t>CS-0043</t>
        </is>
      </c>
      <c r="B44" s="15" t="inlineStr">
        <is>
          <t>TS-06</t>
        </is>
      </c>
      <c r="C44" s="15" t="inlineStr">
        <is>
          <t>TC-023</t>
        </is>
      </c>
      <c r="D44" s="15" t="inlineStr">
        <is>
          <t>ACC</t>
        </is>
      </c>
      <c r="E44" s="16" t="inlineStr">
        <is>
          <t>Permission guard inside the back-office</t>
        </is>
      </c>
      <c r="F44" s="16" t="inlineStr">
        <is>
          <t>ops.maker</t>
        </is>
      </c>
      <c r="G44" s="16" t="inlineStr">
        <is>
          <t>1. As ops.maker GET /api/v1/backoffice/users</t>
        </is>
      </c>
      <c r="H44" s="16" t="inlineStr">
        <is>
          <t>ops.maker lacks bo.users.manage</t>
        </is>
      </c>
      <c r="I44" s="16" t="inlineStr">
        <is>
          <t>HTTP 403 FORBIDDEN on user administration for the operations officer</t>
        </is>
      </c>
      <c r="J44" s="15" t="inlineStr">
        <is>
          <t>API</t>
        </is>
      </c>
      <c r="K44" s="16" t="inlineStr">
        <is>
          <t>Executed – API run (tools/testing/api-test-run.mjs)</t>
        </is>
      </c>
      <c r="L44" s="17" t="inlineStr">
        <is>
          <t>Passed</t>
        </is>
      </c>
      <c r="M44" s="16" t="inlineStr">
        <is>
          <t>api-test-run.json EX-005: GET /api/v1/backoffice/users → 403 FORBIDDEN – You do not have permission to perform this action</t>
        </is>
      </c>
      <c r="N44" s="16" t="inlineStr">
        <is>
          <t>2 Oct 2026 22:12 UTC</t>
        </is>
      </c>
      <c r="O44" s="16" t="inlineStr">
        <is>
          <t>iorta TechNXT QA (API run)</t>
        </is>
      </c>
      <c r="P44" s="16" t="inlineStr"/>
    </row>
    <row r="45">
      <c r="A45" s="15" t="inlineStr">
        <is>
          <t>CS-0044</t>
        </is>
      </c>
      <c r="B45" s="15" t="inlineStr">
        <is>
          <t>TS-06</t>
        </is>
      </c>
      <c r="C45" s="15" t="inlineStr">
        <is>
          <t>TC-023</t>
        </is>
      </c>
      <c r="D45" s="15" t="inlineStr">
        <is>
          <t>ACC</t>
        </is>
      </c>
      <c r="E45" s="16" t="inlineStr">
        <is>
          <t>Permission enforced inside the back-office (suite)</t>
        </is>
      </c>
      <c r="F45" s="16" t="inlineStr">
        <is>
          <t>ag-000001..3, finance, ops.maker, manager, system</t>
        </is>
      </c>
      <c r="G45" s="16" t="inlineStr">
        <is>
          <t>1. Run `npm run test:e2e -w apps/api` (rebuilds the iift_test database from the migrations and seeds)
2. ops.maker GET /backoffice/users</t>
        </is>
      </c>
      <c r="H45" s="16" t="inlineStr">
        <is>
          <t>ops.maker</t>
        </is>
      </c>
      <c r="I45" s="16" t="inlineStr">
        <is>
          <t>403 FORBIDDEN</t>
        </is>
      </c>
      <c r="J45" s="15" t="inlineStr">
        <is>
          <t>E2E</t>
        </is>
      </c>
      <c r="K45" s="16" t="inlineStr">
        <is>
          <t>Automated – apps/api/test/access-control.e2e-spec.ts › enforces permissions within the back-office</t>
        </is>
      </c>
      <c r="L45" s="17" t="inlineStr">
        <is>
          <t>Passed</t>
        </is>
      </c>
      <c r="M45" s="16" t="inlineStr">
        <is>
          <t>api-e2e-tests.json: 'Access control and input handling (AP-59, BO-02, COM-02, NFR-10/14/15) enforces permissions within the back-office' passed (2 Oct 2026 14:55 UTC); test-reruns.json: passed (2 Oct 2026 22:00 UTC)</t>
        </is>
      </c>
      <c r="N45" s="16" t="inlineStr">
        <is>
          <t>2 Oct 2026 22:00 UTC</t>
        </is>
      </c>
      <c r="O45" s="16" t="inlineStr">
        <is>
          <t>iorta QA (Vitest e2e, iift_test database)</t>
        </is>
      </c>
      <c r="P45" s="16" t="inlineStr"/>
    </row>
    <row r="46">
      <c r="A46" s="15" t="inlineStr">
        <is>
          <t>CS-0045</t>
        </is>
      </c>
      <c r="B46" s="15" t="inlineStr">
        <is>
          <t>TS-06</t>
        </is>
      </c>
      <c r="C46" s="15" t="inlineStr">
        <is>
          <t>TC-024</t>
        </is>
      </c>
      <c r="D46" s="15" t="inlineStr">
        <is>
          <t>ACC</t>
        </is>
      </c>
      <c r="E46" s="16" t="inlineStr">
        <is>
          <t>SEC-14 (OWASP A01): Users cannot grant themselves permissions they do not hold</t>
        </is>
      </c>
      <c r="F46" s="16" t="inlineStr">
        <is>
          <t>Security tester</t>
        </is>
      </c>
      <c r="G46" s="16" t="inlineStr">
        <is>
          <t>1. Run `node tools/security/security-checks.mjs` against a fresh non-production instance with demonstration data
2. Read the result of SEC-14</t>
        </is>
      </c>
      <c r="H46" s="16" t="inlineStr">
        <is>
          <t>Demonstration users and records; crafted payloads as described in the script</t>
        </is>
      </c>
      <c r="I46" s="16" t="inlineStr">
        <is>
          <t>403 when granting permissions the user does not hold</t>
        </is>
      </c>
      <c r="J46" s="15" t="inlineStr">
        <is>
          <t>Security</t>
        </is>
      </c>
      <c r="K46" s="16" t="inlineStr">
        <is>
          <t>Automated – tools/security/security-checks.mjs</t>
        </is>
      </c>
      <c r="L46" s="17" t="inlineStr">
        <is>
          <t>Passed</t>
        </is>
      </c>
      <c r="M46" s="16" t="inlineStr">
        <is>
          <t>security-checks.json: SEC-14 PASS (2 Oct 2026 14:57 UTC); evidence summarised in the Security Assessment Report</t>
        </is>
      </c>
      <c r="N46" s="16" t="inlineStr">
        <is>
          <t>2 Oct 2026 14:57 UTC</t>
        </is>
      </c>
      <c r="O46" s="16" t="inlineStr">
        <is>
          <t>iorta QA (security-checks.mjs)</t>
        </is>
      </c>
      <c r="P46" s="16" t="inlineStr"/>
    </row>
    <row r="47">
      <c r="A47" s="15" t="inlineStr">
        <is>
          <t>CS-0046</t>
        </is>
      </c>
      <c r="B47" s="15" t="inlineStr">
        <is>
          <t>TS-06</t>
        </is>
      </c>
      <c r="C47" s="15" t="inlineStr">
        <is>
          <t>TC-025</t>
        </is>
      </c>
      <c r="D47" s="15" t="inlineStr">
        <is>
          <t>ACC</t>
        </is>
      </c>
      <c r="E47" s="16" t="inlineStr">
        <is>
          <t>Not-authorised page for a missing permission</t>
        </is>
      </c>
      <c r="F47" s="16" t="inlineStr">
        <is>
          <t>support</t>
        </is>
      </c>
      <c r="G47" s="16" t="inlineStr">
        <is>
          <t>1. Open a back-office page the role lacks</t>
        </is>
      </c>
      <c r="H47" s="16" t="inlineStr">
        <is>
          <t>support desk role</t>
        </is>
      </c>
      <c r="I47" s="16" t="inlineStr">
        <is>
          <t>Not-authorised page shown; menu entry absent</t>
        </is>
      </c>
      <c r="J47" s="15" t="inlineStr">
        <is>
          <t>UI</t>
        </is>
      </c>
      <c r="K47" s="16" t="inlineStr">
        <is>
          <t>Manual (exploratory)</t>
        </is>
      </c>
      <c r="L47" s="17" t="inlineStr">
        <is>
          <t>Passed</t>
        </is>
      </c>
      <c r="M47" s="16" t="inlineStr">
        <is>
          <t>Screens: b-final-roles.png (evidence/ui-screens)</t>
        </is>
      </c>
      <c r="N47" s="16" t="inlineStr">
        <is>
          <t>2 Oct 2026</t>
        </is>
      </c>
      <c r="O47" s="16" t="inlineStr">
        <is>
          <t>iorta QA (manual, exploratory)</t>
        </is>
      </c>
      <c r="P47" s="16" t="inlineStr"/>
    </row>
    <row r="48">
      <c r="A48" s="15" t="inlineStr">
        <is>
          <t>CS-0047</t>
        </is>
      </c>
      <c r="B48" s="15" t="inlineStr">
        <is>
          <t>TS-07</t>
        </is>
      </c>
      <c r="C48" s="15" t="inlineStr">
        <is>
          <t>TC-026</t>
        </is>
      </c>
      <c r="D48" s="15" t="inlineStr">
        <is>
          <t>ACC</t>
        </is>
      </c>
      <c r="E48" s="16" t="inlineStr">
        <is>
          <t>Hierarchy and agency scoping of policies (suite)</t>
        </is>
      </c>
      <c r="F48" s="16" t="inlineStr">
        <is>
          <t>ag-000001..3, finance, ops.maker, manager, system</t>
        </is>
      </c>
      <c r="G48" s="16" t="inlineStr">
        <is>
          <t>1. Run `npm run test:e2e -w apps/api` (rebuilds the iift_test database from the migrations and seeds)
2. Policy of AG-000001 read by ag-000003, ag-000002 and ag-000001</t>
        </is>
      </c>
      <c r="H48" s="16" t="inlineStr">
        <is>
          <t>Main agent policy</t>
        </is>
      </c>
      <c r="I48" s="16" t="inlineStr">
        <is>
          <t>404; 404; 200</t>
        </is>
      </c>
      <c r="J48" s="15" t="inlineStr">
        <is>
          <t>E2E</t>
        </is>
      </c>
      <c r="K48" s="16" t="inlineStr">
        <is>
          <t>Automated – apps/api/test/access-control.e2e-spec.ts › restricts records to the agent hierarchy and agency</t>
        </is>
      </c>
      <c r="L48" s="17" t="inlineStr">
        <is>
          <t>Passed</t>
        </is>
      </c>
      <c r="M48" s="16" t="inlineStr">
        <is>
          <t>api-e2e-tests.json: 'Access control and input handling (AP-59, BO-02, COM-02, NFR-10/14/15) restricts records to the agent hierarchy and agency' passed (2 Oct 2026 14:55 UTC); test-reruns.json: passed (2 Oct 2026 22:00 UTC)</t>
        </is>
      </c>
      <c r="N48" s="16" t="inlineStr">
        <is>
          <t>2 Oct 2026 22:00 UTC</t>
        </is>
      </c>
      <c r="O48" s="16" t="inlineStr">
        <is>
          <t>iorta QA (Vitest e2e, iift_test database)</t>
        </is>
      </c>
      <c r="P48" s="16" t="inlineStr"/>
    </row>
    <row r="49">
      <c r="A49" s="15" t="inlineStr">
        <is>
          <t>CS-0048</t>
        </is>
      </c>
      <c r="B49" s="15" t="inlineStr">
        <is>
          <t>TS-07</t>
        </is>
      </c>
      <c r="C49" s="15" t="inlineStr">
        <is>
          <t>TC-026</t>
        </is>
      </c>
      <c r="D49" s="15" t="inlineStr">
        <is>
          <t>ACC</t>
        </is>
      </c>
      <c r="E49" s="16" t="inlineStr">
        <is>
          <t>SEC-11 (OWASP A01): Another agency's policy cannot be read by changing the identifier (IDOR)</t>
        </is>
      </c>
      <c r="F49" s="16" t="inlineStr">
        <is>
          <t>Security tester</t>
        </is>
      </c>
      <c r="G49" s="16" t="inlineStr">
        <is>
          <t>1. Run `node tools/security/security-checks.mjs` against a fresh non-production instance with demonstration data
2. Read the result of SEC-11</t>
        </is>
      </c>
      <c r="H49" s="16" t="inlineStr">
        <is>
          <t>Demonstration users and records; crafted payloads as described in the script</t>
        </is>
      </c>
      <c r="I49" s="16" t="inlineStr">
        <is>
          <t>404: record outside the user's agency is not disclosed</t>
        </is>
      </c>
      <c r="J49" s="15" t="inlineStr">
        <is>
          <t>Security</t>
        </is>
      </c>
      <c r="K49" s="16" t="inlineStr">
        <is>
          <t>Automated – tools/security/security-checks.mjs</t>
        </is>
      </c>
      <c r="L49" s="17" t="inlineStr">
        <is>
          <t>Passed</t>
        </is>
      </c>
      <c r="M49" s="16" t="inlineStr">
        <is>
          <t>security-checks.json: SEC-11 PASS (2 Oct 2026 14:57 UTC); evidence summarised in the Security Assessment Report</t>
        </is>
      </c>
      <c r="N49" s="16" t="inlineStr">
        <is>
          <t>2 Oct 2026 14:57 UTC</t>
        </is>
      </c>
      <c r="O49" s="16" t="inlineStr">
        <is>
          <t>iorta QA (security-checks.mjs)</t>
        </is>
      </c>
      <c r="P49" s="16" t="inlineStr"/>
    </row>
    <row r="50">
      <c r="A50" s="15" t="inlineStr">
        <is>
          <t>CS-0049</t>
        </is>
      </c>
      <c r="B50" s="15" t="inlineStr">
        <is>
          <t>TS-07</t>
        </is>
      </c>
      <c r="C50" s="15" t="inlineStr">
        <is>
          <t>TC-027</t>
        </is>
      </c>
      <c r="D50" s="15" t="inlineStr">
        <is>
          <t>ACC</t>
        </is>
      </c>
      <c r="E50" s="16" t="inlineStr">
        <is>
          <t>Sub-agents see their own business; the principal sees the whole agency</t>
        </is>
      </c>
      <c r="F50" s="16" t="inlineStr">
        <is>
          <t>ag-000001, ag-000002</t>
        </is>
      </c>
      <c r="G50" s="16" t="inlineStr">
        <is>
          <t>1. As ag-000002 GET /api/v1/portal/policies
2. As ag-000001 GET /api/v1/portal/policies
3. Compare agent codes and totals</t>
        </is>
      </c>
      <c r="H50" s="16" t="inlineStr">
        <is>
          <t>Agency AGY-SA: principal AG-000001, sub-agent AG-000002</t>
        </is>
      </c>
      <c r="I50" s="16" t="inlineStr">
        <is>
          <t>ag-000002 lists only policies with agent AG-000002; ag-000001 lists more policies, including those of AG-000002</t>
        </is>
      </c>
      <c r="J50" s="15" t="inlineStr">
        <is>
          <t>API</t>
        </is>
      </c>
      <c r="K50" s="16" t="inlineStr">
        <is>
          <t>Executed – API run (tools/testing/api-test-run.mjs)</t>
        </is>
      </c>
      <c r="L50" s="17" t="inlineStr">
        <is>
          <t>Passed</t>
        </is>
      </c>
      <c r="M50" s="16" t="inlineStr">
        <is>
          <t>api-test-run.json EX-009: GET /api/v1/portal/policies as ag-000002 and as ag-000001 → sub-agent total=13 onlyOwn=true | principal total=46 includesSubAgent=true</t>
        </is>
      </c>
      <c r="N50" s="16" t="inlineStr">
        <is>
          <t>2 Oct 2026 22:13 UTC</t>
        </is>
      </c>
      <c r="O50" s="16" t="inlineStr">
        <is>
          <t>iorta TechNXT QA (API run)</t>
        </is>
      </c>
      <c r="P50" s="16" t="inlineStr"/>
    </row>
    <row r="51">
      <c r="A51" s="15" t="inlineStr">
        <is>
          <t>CS-0050</t>
        </is>
      </c>
      <c r="B51" s="15" t="inlineStr">
        <is>
          <t>TS-07</t>
        </is>
      </c>
      <c r="C51" s="15" t="inlineStr">
        <is>
          <t>TC-028</t>
        </is>
      </c>
      <c r="D51" s="15" t="inlineStr">
        <is>
          <t>ACC</t>
        </is>
      </c>
      <c r="E51" s="16" t="inlineStr">
        <is>
          <t>Documents of another agency cannot be downloaded</t>
        </is>
      </c>
      <c r="F51" s="16" t="inlineStr">
        <is>
          <t>ag-000003</t>
        </is>
      </c>
      <c r="G51" s="16" t="inlineStr">
        <is>
          <t>1. As ag-000003 GET /api/v1/common/documents/{id}/content</t>
        </is>
      </c>
      <c r="H51" s="16" t="inlineStr">
        <is>
          <t>Document of agency AGY-SA</t>
        </is>
      </c>
      <c r="I51" s="16" t="inlineStr">
        <is>
          <t>GET /common/documents/{id}/content → 403 (or 404)</t>
        </is>
      </c>
      <c r="J51" s="15" t="inlineStr">
        <is>
          <t>API</t>
        </is>
      </c>
      <c r="K51" s="16" t="inlineStr">
        <is>
          <t>Executed – API run (tools/testing/api-test-run.mjs)</t>
        </is>
      </c>
      <c r="L51" s="17" t="inlineStr">
        <is>
          <t>Passed</t>
        </is>
      </c>
      <c r="M51" s="16" t="inlineStr">
        <is>
          <t>api-test-run.json EX-119: GET /api/v1/common/documents/f42ac035-eb19-4864-9631-ac744b94fc21/content (ag-000003) → 403 FORBIDDEN – You do not have access to this document</t>
        </is>
      </c>
      <c r="N51" s="16" t="inlineStr">
        <is>
          <t>2 Oct 2026 22:13 UTC</t>
        </is>
      </c>
      <c r="O51" s="16" t="inlineStr">
        <is>
          <t>iorta TechNXT QA (API run)</t>
        </is>
      </c>
      <c r="P51" s="16" t="inlineStr"/>
    </row>
    <row r="52">
      <c r="A52" s="15" t="inlineStr">
        <is>
          <t>CS-0051</t>
        </is>
      </c>
      <c r="B52" s="15" t="inlineStr">
        <is>
          <t>TS-07</t>
        </is>
      </c>
      <c r="C52" s="15" t="inlineStr">
        <is>
          <t>TC-028</t>
        </is>
      </c>
      <c r="D52" s="15" t="inlineStr">
        <is>
          <t>ACC</t>
        </is>
      </c>
      <c r="E52" s="16" t="inlineStr">
        <is>
          <t>Issues of another agency are not visible to an agent</t>
        </is>
      </c>
      <c r="F52" s="16" t="inlineStr">
        <is>
          <t>ag-000003</t>
        </is>
      </c>
      <c r="G52" s="16" t="inlineStr">
        <is>
          <t>1. As ag-000003 GET /api/v1/common/issues/{id of EX-090}</t>
        </is>
      </c>
      <c r="H52" s="16" t="inlineStr">
        <is>
          <t>Issue of agency AGY-SA</t>
        </is>
      </c>
      <c r="I52" s="16" t="inlineStr">
        <is>
          <t>GET /common/issues/{id} → 404 (or 403) for an issue of agency AGY-SA</t>
        </is>
      </c>
      <c r="J52" s="15" t="inlineStr">
        <is>
          <t>API</t>
        </is>
      </c>
      <c r="K52" s="16" t="inlineStr">
        <is>
          <t>Executed – API run (tools/testing/api-test-run.mjs)</t>
        </is>
      </c>
      <c r="L52" s="17" t="inlineStr">
        <is>
          <t>Passed</t>
        </is>
      </c>
      <c r="M52" s="16" t="inlineStr">
        <is>
          <t>api-test-run.json EX-094: GET /api/v1/common/issues/24c6efa5-7183-4b64-8b0b-940c1cfe1c63 (ag-000003) → 404 NOT_FOUND – Issue not found</t>
        </is>
      </c>
      <c r="N52" s="16" t="inlineStr">
        <is>
          <t>2 Oct 2026 22:13 UTC</t>
        </is>
      </c>
      <c r="O52" s="16" t="inlineStr">
        <is>
          <t>iorta TechNXT QA (API run)</t>
        </is>
      </c>
      <c r="P52" s="16" t="inlineStr"/>
    </row>
    <row r="53">
      <c r="A53" s="15" t="inlineStr">
        <is>
          <t>CS-0052</t>
        </is>
      </c>
      <c r="B53" s="15" t="inlineStr">
        <is>
          <t>TS-07</t>
        </is>
      </c>
      <c r="C53" s="15" t="inlineStr">
        <is>
          <t>TC-028</t>
        </is>
      </c>
      <c r="D53" s="15" t="inlineStr">
        <is>
          <t>ACC</t>
        </is>
      </c>
      <c r="E53" s="16" t="inlineStr">
        <is>
          <t>SEC-12 (OWASP A01): Another agency's documents cannot be downloaded</t>
        </is>
      </c>
      <c r="F53" s="16" t="inlineStr">
        <is>
          <t>Security tester</t>
        </is>
      </c>
      <c r="G53" s="16" t="inlineStr">
        <is>
          <t>1. Run `node tools/security/security-checks.mjs` against a fresh non-production instance with demonstration data
2. Read the result of SEC-12</t>
        </is>
      </c>
      <c r="H53" s="16" t="inlineStr">
        <is>
          <t>Demonstration users and records; crafted payloads as described in the script</t>
        </is>
      </c>
      <c r="I53" s="16" t="inlineStr">
        <is>
          <t>403 for another agency's document</t>
        </is>
      </c>
      <c r="J53" s="15" t="inlineStr">
        <is>
          <t>Security</t>
        </is>
      </c>
      <c r="K53" s="16" t="inlineStr">
        <is>
          <t>Automated – tools/security/security-checks.mjs</t>
        </is>
      </c>
      <c r="L53" s="17" t="inlineStr">
        <is>
          <t>Passed</t>
        </is>
      </c>
      <c r="M53" s="16" t="inlineStr">
        <is>
          <t>security-checks.json: SEC-12 PASS (2 Oct 2026 14:57 UTC); evidence summarised in the Security Assessment Report</t>
        </is>
      </c>
      <c r="N53" s="16" t="inlineStr">
        <is>
          <t>2 Oct 2026 14:57 UTC</t>
        </is>
      </c>
      <c r="O53" s="16" t="inlineStr">
        <is>
          <t>iorta QA (security-checks.mjs)</t>
        </is>
      </c>
      <c r="P53" s="16" t="inlineStr"/>
    </row>
    <row r="54">
      <c r="A54" s="15" t="inlineStr">
        <is>
          <t>CS-0053</t>
        </is>
      </c>
      <c r="B54" s="15" t="inlineStr">
        <is>
          <t>TS-08</t>
        </is>
      </c>
      <c r="C54" s="15" t="inlineStr">
        <is>
          <t>TC-029</t>
        </is>
      </c>
      <c r="D54" s="15" t="inlineStr">
        <is>
          <t>AGT</t>
        </is>
      </c>
      <c r="E54" s="16" t="inlineStr">
        <is>
          <t>Only an agency principal can register agents through the portal</t>
        </is>
      </c>
      <c r="F54" s="16" t="inlineStr">
        <is>
          <t>ag-000002</t>
        </is>
      </c>
      <c r="G54" s="16" t="inlineStr">
        <is>
          <t>1. As ag-000002 POST /api/v1/portal/agents</t>
        </is>
      </c>
      <c r="H54" s="16" t="inlineStr">
        <is>
          <t>Sub-agent without portal.agents.register</t>
        </is>
      </c>
      <c r="I54" s="16" t="inlineStr">
        <is>
          <t>HTTP 403 FORBIDDEN for a sub-agent</t>
        </is>
      </c>
      <c r="J54" s="15" t="inlineStr">
        <is>
          <t>API</t>
        </is>
      </c>
      <c r="K54" s="16" t="inlineStr">
        <is>
          <t>Executed – API run (tools/testing/api-test-run.mjs)</t>
        </is>
      </c>
      <c r="L54" s="17" t="inlineStr">
        <is>
          <t>Passed</t>
        </is>
      </c>
      <c r="M54" s="16" t="inlineStr">
        <is>
          <t>api-test-run.json EX-070: POST /api/v1/portal/agents (ag-000002) → 403 FORBIDDEN – You do not have permission to perform this action</t>
        </is>
      </c>
      <c r="N54" s="16" t="inlineStr">
        <is>
          <t>2 Oct 2026 22:13 UTC</t>
        </is>
      </c>
      <c r="O54" s="16" t="inlineStr">
        <is>
          <t>iorta TechNXT QA (API run)</t>
        </is>
      </c>
      <c r="P54" s="16" t="inlineStr"/>
    </row>
    <row r="55">
      <c r="A55" s="15" t="inlineStr">
        <is>
          <t>CS-0054</t>
        </is>
      </c>
      <c r="B55" s="15" t="inlineStr">
        <is>
          <t>TS-08</t>
        </is>
      </c>
      <c r="C55" s="15" t="inlineStr">
        <is>
          <t>TC-030</t>
        </is>
      </c>
      <c r="D55" s="15" t="inlineStr">
        <is>
          <t>AGT</t>
        </is>
      </c>
      <c r="E55" s="16" t="inlineStr">
        <is>
          <t>Hierarchy rules: a bank officer cannot be registered under an agency; a main agent cannot report to another agent</t>
        </is>
      </c>
      <c r="F55" s="16" t="inlineStr">
        <is>
          <t>ag-000001</t>
        </is>
      </c>
      <c r="G55" s="16" t="inlineStr">
        <is>
          <t>1. As ag-000001 POST /api/v1/portal/agents agentType BANKER
2. POST agentType MAIN_AGENT with parentAgentId</t>
        </is>
      </c>
      <c r="H55" s="16" t="inlineStr">
        <is>
          <t>Agency AGY-SA</t>
        </is>
      </c>
      <c r="I55" s="16" t="inlineStr">
        <is>
          <t>HTTP 422 INVALID_AGENT_TYPE; HTTP 422 INVALID_PARENT</t>
        </is>
      </c>
      <c r="J55" s="15" t="inlineStr">
        <is>
          <t>API</t>
        </is>
      </c>
      <c r="K55" s="16" t="inlineStr">
        <is>
          <t>Executed – API run (tools/testing/api-test-run.mjs)</t>
        </is>
      </c>
      <c r="L55" s="17" t="inlineStr">
        <is>
          <t>Passed</t>
        </is>
      </c>
      <c r="M55" s="16" t="inlineStr">
        <is>
          <t>api-test-run.json EX-071: POST /api/v1/portal/agents (BANKER; MAIN_AGENT with parent) → 422 INVALID_AGENT_TYPE – Agencies register main agents or sub-agents | 422 INVALID_PARENT – A main agent cannot report to another agent</t>
        </is>
      </c>
      <c r="N55" s="16" t="inlineStr">
        <is>
          <t>2 Oct 2026 22:13 UTC</t>
        </is>
      </c>
      <c r="O55" s="16" t="inlineStr">
        <is>
          <t>iorta TechNXT QA (API run)</t>
        </is>
      </c>
      <c r="P55" s="16" t="inlineStr"/>
    </row>
    <row r="56">
      <c r="A56" s="15" t="inlineStr">
        <is>
          <t>CS-0055</t>
        </is>
      </c>
      <c r="B56" s="15" t="inlineStr">
        <is>
          <t>TS-08</t>
        </is>
      </c>
      <c r="C56" s="15" t="inlineStr">
        <is>
          <t>TC-031</t>
        </is>
      </c>
      <c r="D56" s="15" t="inlineStr">
        <is>
          <t>AGT</t>
        </is>
      </c>
      <c r="E56" s="16" t="inlineStr">
        <is>
          <t>Principal registers a sub-agent: unique code, PENDING status, duplicate IC refused</t>
        </is>
      </c>
      <c r="F56" s="16" t="inlineStr">
        <is>
          <t>ag-000001</t>
        </is>
      </c>
      <c r="G56" s="16" t="inlineStr">
        <is>
          <t>1. POST /api/v1/portal/agents SUB_AGENT Hazirah binti Jamil
2. POST again with the same IC</t>
        </is>
      </c>
      <c r="H56" s="16" t="inlineStr">
        <is>
          <t>NRIC 01-5nnnnn</t>
        </is>
      </c>
      <c r="I56" s="16" t="inlineStr">
        <is>
          <t>HTTP 201 with agentCode AG-nnnnnn and status PENDING; same IC again → 422 DUPLICATE_AGENT</t>
        </is>
      </c>
      <c r="J56" s="15" t="inlineStr">
        <is>
          <t>API</t>
        </is>
      </c>
      <c r="K56" s="16" t="inlineStr">
        <is>
          <t>Executed – API run (tools/testing/api-test-run.mjs)</t>
        </is>
      </c>
      <c r="L56" s="17" t="inlineStr">
        <is>
          <t>Passed</t>
        </is>
      </c>
      <c r="M56" s="16" t="inlineStr">
        <is>
          <t>api-test-run.json EX-072: POST /api/v1/portal/agents (twice with the same IC) → 201 AG-000015 PENDING | 422 DUPLICATE_AGENT – An agent with this identification number is already registered</t>
        </is>
      </c>
      <c r="N56" s="16" t="inlineStr">
        <is>
          <t>2 Oct 2026 22:13 UTC</t>
        </is>
      </c>
      <c r="O56" s="16" t="inlineStr">
        <is>
          <t>iorta TechNXT QA (API run)</t>
        </is>
      </c>
      <c r="P56" s="16" t="inlineStr"/>
    </row>
    <row r="57">
      <c r="A57" s="15" t="inlineStr">
        <is>
          <t>CS-0056</t>
        </is>
      </c>
      <c r="B57" s="15" t="inlineStr">
        <is>
          <t>TS-08</t>
        </is>
      </c>
      <c r="C57" s="15" t="inlineStr">
        <is>
          <t>TC-031</t>
        </is>
      </c>
      <c r="D57" s="15" t="inlineStr">
        <is>
          <t>AGT</t>
        </is>
      </c>
      <c r="E57" s="16" t="inlineStr">
        <is>
          <t>Agent registration from the portal and approval</t>
        </is>
      </c>
      <c r="F57" s="16" t="inlineStr">
        <is>
          <t>ag-000001, ops.checker</t>
        </is>
      </c>
      <c r="G57" s="16" t="inlineStr">
        <is>
          <t>1. Team &amp; hierarchy → Register
2. Fill the form and upload the IC copy
3. Checker opens the approval and approves</t>
        </is>
      </c>
      <c r="H57" s="16" t="inlineStr">
        <is>
          <t>Sub-agent</t>
        </is>
      </c>
      <c r="I57" s="16" t="inlineStr">
        <is>
          <t>Agent code assigned; pending → active after approval</t>
        </is>
      </c>
      <c r="J57" s="15" t="inlineStr">
        <is>
          <t>UI</t>
        </is>
      </c>
      <c r="K57" s="16" t="inlineStr">
        <is>
          <t>Manual (exploratory)</t>
        </is>
      </c>
      <c r="L57" s="17" t="inlineStr">
        <is>
          <t>Passed</t>
        </is>
      </c>
      <c r="M57" s="16" t="inlineStr">
        <is>
          <t>Screens: b-flow-register-filled.png, b-flow-register-upload.png, b-flow-register-uploaded.png, b-flow-register-done.png, b-flow-agent-pending.png, ui-approval-agent.png (evidence/ui-screens)</t>
        </is>
      </c>
      <c r="N57" s="16" t="inlineStr">
        <is>
          <t>2 Oct 2026</t>
        </is>
      </c>
      <c r="O57" s="16" t="inlineStr">
        <is>
          <t>iorta QA (manual, exploratory)</t>
        </is>
      </c>
      <c r="P57" s="16" t="inlineStr"/>
    </row>
    <row r="58">
      <c r="A58" s="15" t="inlineStr">
        <is>
          <t>CS-0057</t>
        </is>
      </c>
      <c r="B58" s="15" t="inlineStr">
        <is>
          <t>TS-08</t>
        </is>
      </c>
      <c r="C58" s="15" t="inlineStr">
        <is>
          <t>TC-032</t>
        </is>
      </c>
      <c r="D58" s="15" t="inlineStr">
        <is>
          <t>AGT</t>
        </is>
      </c>
      <c r="E58" s="16" t="inlineStr">
        <is>
          <t>Passport holders need a passport copy (suite)</t>
        </is>
      </c>
      <c r="F58" s="16" t="inlineStr">
        <is>
          <t>ag-000001, ops.checker, compliance, support, finance, manager</t>
        </is>
      </c>
      <c r="G58" s="16" t="inlineStr">
        <is>
          <t>1. Run `npm run test:e2e -w apps/api` (rebuilds the iift_test database from the migrations and seeds)
2. Register with PASSPORT; upload IC_COPY only; approve; upload PASSPORT_COPY; approve</t>
        </is>
      </c>
      <c r="H58" s="16" t="inlineStr">
        <is>
          <t>Nurul Ain binti Osman</t>
        </is>
      </c>
      <c r="I58" s="16" t="inlineStr">
        <is>
          <t>422 DOCUMENTS_MISSING; then 200</t>
        </is>
      </c>
      <c r="J58" s="15" t="inlineStr">
        <is>
          <t>E2E</t>
        </is>
      </c>
      <c r="K58" s="16" t="inlineStr">
        <is>
          <t>Automated – apps/api/test/operations.e2e-spec.ts › asks passport holders for a passport copy instead of an IC copy</t>
        </is>
      </c>
      <c r="L58" s="17" t="inlineStr">
        <is>
          <t>Passed</t>
        </is>
      </c>
      <c r="M58" s="16" t="inlineStr">
        <is>
          <t>api-e2e-tests.json: 'Back-office operations asks passport holders for a passport copy instead of an IC copy' passed (2 Oct 2026 14:55 UTC); test-reruns.json: passed (2 Oct 2026 22:00 UTC)</t>
        </is>
      </c>
      <c r="N58" s="16" t="inlineStr">
        <is>
          <t>2 Oct 2026 22:00 UTC</t>
        </is>
      </c>
      <c r="O58" s="16" t="inlineStr">
        <is>
          <t>iorta QA (Vitest e2e, iift_test database)</t>
        </is>
      </c>
      <c r="P58" s="16" t="inlineStr"/>
    </row>
    <row r="59">
      <c r="A59" s="15" t="inlineStr">
        <is>
          <t>CS-0058</t>
        </is>
      </c>
      <c r="B59" s="15" t="inlineStr">
        <is>
          <t>TS-08</t>
        </is>
      </c>
      <c r="C59" s="15" t="inlineStr">
        <is>
          <t>TC-033</t>
        </is>
      </c>
      <c r="D59" s="15" t="inlineStr">
        <is>
          <t>AGT</t>
        </is>
      </c>
      <c r="E59" s="16" t="inlineStr">
        <is>
          <t>After the IC copy is uploaded the checker approves: agent ACTIVE with a portal account</t>
        </is>
      </c>
      <c r="F59" s="16" t="inlineStr">
        <is>
          <t>ag-000001, ops.checker</t>
        </is>
      </c>
      <c r="G59" s="16" t="inlineStr">
        <is>
          <t>1. As ag-000001 upload IC_COPY for the agent
2. As ops.checker POST approvals/{id}/approve
3. GET /api/v1/portal/agents/{id}
4. As manager GET /api/v1/backoffice/users?search=&lt;code&gt;</t>
        </is>
      </c>
      <c r="H59" s="16" t="inlineStr">
        <is>
          <t>Agent of EX-072</t>
        </is>
      </c>
      <c r="I59" s="16" t="inlineStr">
        <is>
          <t>HTTP 200; GET /portal/agents/{id} shows status ACTIVE; a user named after the agent code exists</t>
        </is>
      </c>
      <c r="J59" s="15" t="inlineStr">
        <is>
          <t>API</t>
        </is>
      </c>
      <c r="K59" s="16" t="inlineStr">
        <is>
          <t>Executed – API run (tools/testing/api-test-run.mjs)</t>
        </is>
      </c>
      <c r="L59" s="17" t="inlineStr">
        <is>
          <t>Passed</t>
        </is>
      </c>
      <c r="M59" s="16" t="inlineStr">
        <is>
          <t>api-test-run.json EX-074: POST /api/v1/common/documents (AGENT IC_COPY); POST approvals/{id}/approve; GET /api/v1/portal/agents/{id}; GET /api/v1/backoffice/users → 200 | agent ACTIVE | user ag-000015 mustChangePassword=true</t>
        </is>
      </c>
      <c r="N59" s="16" t="inlineStr">
        <is>
          <t>2 Oct 2026 22:13 UTC</t>
        </is>
      </c>
      <c r="O59" s="16" t="inlineStr">
        <is>
          <t>iorta TechNXT QA (API run)</t>
        </is>
      </c>
      <c r="P59" s="16" t="inlineStr"/>
    </row>
    <row r="60">
      <c r="A60" s="15" t="inlineStr">
        <is>
          <t>CS-0059</t>
        </is>
      </c>
      <c r="B60" s="15" t="inlineStr">
        <is>
          <t>TS-08</t>
        </is>
      </c>
      <c r="C60" s="15" t="inlineStr">
        <is>
          <t>TC-033</t>
        </is>
      </c>
      <c r="D60" s="15" t="inlineStr">
        <is>
          <t>AGT</t>
        </is>
      </c>
      <c r="E60" s="16" t="inlineStr">
        <is>
          <t>Sub-agent onboarding end to end (suite)</t>
        </is>
      </c>
      <c r="F60" s="16" t="inlineStr">
        <is>
          <t>ag-000001, ops.checker, compliance, support, finance, manager</t>
        </is>
      </c>
      <c r="G60" s="16" t="inlineStr">
        <is>
          <t>1. Run `npm run test:e2e -w apps/api` (rebuilds the iift_test database from the migrations and seeds)
2. Register SUB_AGENT; checker approves before upload; upload IC; approve</t>
        </is>
      </c>
      <c r="H60" s="16" t="inlineStr">
        <is>
          <t>Hazirah binti Jamil</t>
        </is>
      </c>
      <c r="I60" s="16" t="inlineStr">
        <is>
          <t>201 PENDING AG-nnnnnn; 422 DOCUMENTS_MISSING; 200; agent ACTIVE; user = agent code; mustChangePassword</t>
        </is>
      </c>
      <c r="J60" s="15" t="inlineStr">
        <is>
          <t>E2E</t>
        </is>
      </c>
      <c r="K60" s="16" t="inlineStr">
        <is>
          <t>Automated – apps/api/test/operations.e2e-spec.ts › onboards a sub-agent through registration, AML, documents and approval (AP-07, BO-10/13)</t>
        </is>
      </c>
      <c r="L60" s="17" t="inlineStr">
        <is>
          <t>Passed</t>
        </is>
      </c>
      <c r="M60" s="16" t="inlineStr">
        <is>
          <t>api-e2e-tests.json: 'Back-office operations onboards a sub-agent through registration, AML, documents and approval (AP-07, BO-10/13)' passed (2 Oct 2026 14:55 UTC); test-reruns.json: passed (2 Oct 2026 22:00 UTC)</t>
        </is>
      </c>
      <c r="N60" s="16" t="inlineStr">
        <is>
          <t>2 Oct 2026 22:00 UTC</t>
        </is>
      </c>
      <c r="O60" s="16" t="inlineStr">
        <is>
          <t>iorta QA (Vitest e2e, iift_test database)</t>
        </is>
      </c>
      <c r="P60" s="16" t="inlineStr"/>
    </row>
    <row r="61">
      <c r="A61" s="15" t="inlineStr">
        <is>
          <t>CS-0060</t>
        </is>
      </c>
      <c r="B61" s="15" t="inlineStr">
        <is>
          <t>TS-08</t>
        </is>
      </c>
      <c r="C61" s="15" t="inlineStr">
        <is>
          <t>TC-034</t>
        </is>
      </c>
      <c r="D61" s="15" t="inlineStr">
        <is>
          <t>AGT</t>
        </is>
      </c>
      <c r="E61" s="16" t="inlineStr">
        <is>
          <t>Confirmed AML match closes the registration (suite)</t>
        </is>
      </c>
      <c r="F61" s="16" t="inlineStr">
        <is>
          <t>ag-000001, ops.checker, compliance, support, finance, manager</t>
        </is>
      </c>
      <c r="G61" s="16" t="inlineStr">
        <is>
          <t>1. Run `npm run test:e2e -w apps/api` (rebuilds the iift_test database from the migrations and seeds)
2. Register 'Viktor Petrenko'; compliance CONFIRMED_MATCH</t>
        </is>
      </c>
      <c r="H61" s="16" t="inlineStr">
        <is>
          <t>Watch-list DEMO-002</t>
        </is>
      </c>
      <c r="I61" s="16" t="inlineStr">
        <is>
          <t>amlStatus FLAGGED; request REJECTED with 'AML match confirmed'; agent REJECTED</t>
        </is>
      </c>
      <c r="J61" s="15" t="inlineStr">
        <is>
          <t>E2E</t>
        </is>
      </c>
      <c r="K61" s="16" t="inlineStr">
        <is>
          <t>Automated – apps/api/test/operations.e2e-spec.ts › closes a pending registration when Compliance confirms an AML match</t>
        </is>
      </c>
      <c r="L61" s="17" t="inlineStr">
        <is>
          <t>Passed</t>
        </is>
      </c>
      <c r="M61" s="16" t="inlineStr">
        <is>
          <t>api-e2e-tests.json: 'Back-office operations closes a pending registration when Compliance confirms an AML match' passed (2 Oct 2026 14:55 UTC); test-reruns.json: passed (2 Oct 2026 22:00 UTC)</t>
        </is>
      </c>
      <c r="N61" s="16" t="inlineStr">
        <is>
          <t>2 Oct 2026 22:00 UTC</t>
        </is>
      </c>
      <c r="O61" s="16" t="inlineStr">
        <is>
          <t>iorta QA (Vitest e2e, iift_test database)</t>
        </is>
      </c>
      <c r="P61" s="16" t="inlineStr"/>
    </row>
    <row r="62">
      <c r="A62" s="15" t="inlineStr">
        <is>
          <t>CS-0061</t>
        </is>
      </c>
      <c r="B62" s="15" t="inlineStr">
        <is>
          <t>TS-09</t>
        </is>
      </c>
      <c r="C62" s="15" t="inlineStr">
        <is>
          <t>TC-035</t>
        </is>
      </c>
      <c r="D62" s="15" t="inlineStr">
        <is>
          <t>AGT</t>
        </is>
      </c>
      <c r="E62" s="16" t="inlineStr">
        <is>
          <t>Profile, agency and team views</t>
        </is>
      </c>
      <c r="F62" s="16" t="inlineStr">
        <is>
          <t>ag-000002, bk-000005</t>
        </is>
      </c>
      <c r="G62" s="16" t="inlineStr">
        <is>
          <t>1. Open Profile
2. Open Team &amp; hierarchy</t>
        </is>
      </c>
      <c r="H62" s="16" t="inlineStr">
        <is>
          <t>Sub-agent and bank officer</t>
        </is>
      </c>
      <c r="I62" s="16" t="inlineStr">
        <is>
          <t>Profile details, agency information and reporting line shown</t>
        </is>
      </c>
      <c r="J62" s="15" t="inlineStr">
        <is>
          <t>UI</t>
        </is>
      </c>
      <c r="K62" s="16" t="inlineStr">
        <is>
          <t>Manual (exploratory)</t>
        </is>
      </c>
      <c r="L62" s="17" t="inlineStr">
        <is>
          <t>Passed</t>
        </is>
      </c>
      <c r="M62" s="16" t="inlineStr">
        <is>
          <t>Screens: b-profile.png, b-team.png, b-team-sub.png, b-team-banca.png (evidence/ui-screens)</t>
        </is>
      </c>
      <c r="N62" s="16" t="inlineStr">
        <is>
          <t>2 Oct 2026</t>
        </is>
      </c>
      <c r="O62" s="16" t="inlineStr">
        <is>
          <t>iorta QA (manual, exploratory)</t>
        </is>
      </c>
      <c r="P62" s="16" t="inlineStr"/>
    </row>
    <row r="63">
      <c r="A63" s="15" t="inlineStr">
        <is>
          <t>CS-0062</t>
        </is>
      </c>
      <c r="B63" s="15" t="inlineStr">
        <is>
          <t>TS-09</t>
        </is>
      </c>
      <c r="C63" s="15" t="inlineStr">
        <is>
          <t>TC-036</t>
        </is>
      </c>
      <c r="D63" s="15" t="inlineStr">
        <is>
          <t>AGT</t>
        </is>
      </c>
      <c r="E63" s="16" t="inlineStr">
        <is>
          <t>Maker sees and withdraws their own pending request</t>
        </is>
      </c>
      <c r="F63" s="16" t="inlineStr">
        <is>
          <t>ag-000001</t>
        </is>
      </c>
      <c r="G63" s="16" t="inlineStr">
        <is>
          <t>1. GET /api/v1/portal/requests?status=PENDING
2. POST /api/v1/portal/requests/{id}/withdraw</t>
        </is>
      </c>
      <c r="H63" s="16" t="inlineStr">
        <is>
          <t>Request of EX-016</t>
        </is>
      </c>
      <c r="I63" s="16" t="inlineStr">
        <is>
          <t>GET /portal/requests lists the request; POST withdraw returns 200 with status WITHDRAWN</t>
        </is>
      </c>
      <c r="J63" s="15" t="inlineStr">
        <is>
          <t>API</t>
        </is>
      </c>
      <c r="K63" s="16" t="inlineStr">
        <is>
          <t>Executed – API run (tools/testing/api-test-run.mjs)</t>
        </is>
      </c>
      <c r="L63" s="17" t="inlineStr">
        <is>
          <t>Passed</t>
        </is>
      </c>
      <c r="M63" s="16" t="inlineStr">
        <is>
          <t>api-test-run.json EX-017: GET /api/v1/portal/requests; POST /api/v1/portal/requests/{id}/withdraw → listed=true | 200 WITHDRAWN</t>
        </is>
      </c>
      <c r="N63" s="16" t="inlineStr">
        <is>
          <t>2 Oct 2026 22:13 UTC</t>
        </is>
      </c>
      <c r="O63" s="16" t="inlineStr">
        <is>
          <t>iorta TechNXT QA (API run)</t>
        </is>
      </c>
      <c r="P63" s="16" t="inlineStr"/>
    </row>
    <row r="64">
      <c r="A64" s="15" t="inlineStr">
        <is>
          <t>CS-0063</t>
        </is>
      </c>
      <c r="B64" s="15" t="inlineStr">
        <is>
          <t>TS-09</t>
        </is>
      </c>
      <c r="C64" s="15" t="inlineStr">
        <is>
          <t>TC-036</t>
        </is>
      </c>
      <c r="D64" s="15" t="inlineStr">
        <is>
          <t>AGT</t>
        </is>
      </c>
      <c r="E64" s="16" t="inlineStr">
        <is>
          <t>Profile update request from the portal and the hierarchy view</t>
        </is>
      </c>
      <c r="F64" s="16" t="inlineStr">
        <is>
          <t>ag-000002</t>
        </is>
      </c>
      <c r="G64" s="16" t="inlineStr">
        <is>
          <t>1. As ag-000002 POST /api/v1/portal/profile/update-requests with a new mobile
2. GET /api/v1/portal/hierarchy
3. GET /api/v1/portal/agency</t>
        </is>
      </c>
      <c r="H64" s="16" t="inlineStr">
        <is>
          <t>Sub-agent of AGY-SA</t>
        </is>
      </c>
      <c r="I64" s="16" t="inlineStr">
        <is>
          <t>POST profile/update-requests → 201 PENDING; GET /portal/hierarchy → 200 with the reporting line; GET /portal/agency → 200</t>
        </is>
      </c>
      <c r="J64" s="15" t="inlineStr">
        <is>
          <t>API</t>
        </is>
      </c>
      <c r="K64" s="16" t="inlineStr">
        <is>
          <t>Executed – API run (tools/testing/api-test-run.mjs)</t>
        </is>
      </c>
      <c r="L64" s="17" t="inlineStr">
        <is>
          <t>Passed</t>
        </is>
      </c>
      <c r="M64" s="16" t="inlineStr">
        <is>
          <t>api-test-run.json EX-077: POST /api/v1/portal/profile/update-requests; GET /api/v1/portal/hierarchy; GET /api/v1/portal/agency → 201 AGENT_PROFILE_UPDATE PENDING | 200 | 200 AGY-SA</t>
        </is>
      </c>
      <c r="N64" s="16" t="inlineStr">
        <is>
          <t>2 Oct 2026 22:13 UTC</t>
        </is>
      </c>
      <c r="O64" s="16" t="inlineStr">
        <is>
          <t>iorta TechNXT QA (API run)</t>
        </is>
      </c>
      <c r="P64" s="16" t="inlineStr"/>
    </row>
    <row r="65">
      <c r="A65" s="15" t="inlineStr">
        <is>
          <t>CS-0064</t>
        </is>
      </c>
      <c r="B65" s="15" t="inlineStr">
        <is>
          <t>TS-09</t>
        </is>
      </c>
      <c r="C65" s="15" t="inlineStr">
        <is>
          <t>TC-036</t>
        </is>
      </c>
      <c r="D65" s="15" t="inlineStr">
        <is>
          <t>AGT</t>
        </is>
      </c>
      <c r="E65" s="16" t="inlineStr">
        <is>
          <t>Maker withdraws a pending request</t>
        </is>
      </c>
      <c r="F65" s="16" t="inlineStr">
        <is>
          <t>ag-000001</t>
        </is>
      </c>
      <c r="G65" s="16" t="inlineStr">
        <is>
          <t>1. Open My requests
2. Withdraw the agent registration</t>
        </is>
      </c>
      <c r="H65" s="16" t="inlineStr">
        <is>
          <t>Pending request</t>
        </is>
      </c>
      <c r="I65" s="16" t="inlineStr">
        <is>
          <t>Status WITHDRAWN; agent no longer pending</t>
        </is>
      </c>
      <c r="J65" s="15" t="inlineStr">
        <is>
          <t>UI</t>
        </is>
      </c>
      <c r="K65" s="16" t="inlineStr">
        <is>
          <t>Manual (exploratory)</t>
        </is>
      </c>
      <c r="L65" s="17" t="inlineStr">
        <is>
          <t>Passed</t>
        </is>
      </c>
      <c r="M65" s="16" t="inlineStr">
        <is>
          <t>Screens: b-flow-maker-view.png, b-flow-agent-after-withdraw.png (evidence/ui-screens)</t>
        </is>
      </c>
      <c r="N65" s="16" t="inlineStr">
        <is>
          <t>2 Oct 2026</t>
        </is>
      </c>
      <c r="O65" s="16" t="inlineStr">
        <is>
          <t>iorta QA (manual, exploratory)</t>
        </is>
      </c>
      <c r="P65" s="16" t="inlineStr"/>
    </row>
    <row r="66">
      <c r="A66" s="15" t="inlineStr">
        <is>
          <t>CS-0065</t>
        </is>
      </c>
      <c r="B66" s="15" t="inlineStr">
        <is>
          <t>TS-10</t>
        </is>
      </c>
      <c r="C66" s="15" t="inlineStr">
        <is>
          <t>TC-037</t>
        </is>
      </c>
      <c r="D66" s="15" t="inlineStr">
        <is>
          <t>AGT</t>
        </is>
      </c>
      <c r="E66" s="16" t="inlineStr">
        <is>
          <t>Agent search filters</t>
        </is>
      </c>
      <c r="F66" s="16" t="inlineStr">
        <is>
          <t>ops.maker</t>
        </is>
      </c>
      <c r="G66" s="16" t="inlineStr">
        <is>
          <t>1. Filter agents by agency, status and type</t>
        </is>
      </c>
      <c r="H66" s="16" t="inlineStr">
        <is>
          <t>Seeded agents</t>
        </is>
      </c>
      <c r="I66" s="16" t="inlineStr">
        <is>
          <t>Matching records only</t>
        </is>
      </c>
      <c r="J66" s="15" t="inlineStr">
        <is>
          <t>UI</t>
        </is>
      </c>
      <c r="K66" s="16" t="inlineStr">
        <is>
          <t>Not automated</t>
        </is>
      </c>
      <c r="L66" s="18" t="inlineStr">
        <is>
          <t>Not executed</t>
        </is>
      </c>
      <c r="M66" s="16" t="inlineStr">
        <is>
          <t>Not executed – UI under restyling</t>
        </is>
      </c>
      <c r="N66" s="16" t="inlineStr"/>
      <c r="O66" s="16" t="inlineStr"/>
      <c r="P66" s="16" t="inlineStr"/>
    </row>
    <row r="67">
      <c r="A67" s="15" t="inlineStr">
        <is>
          <t>CS-0066</t>
        </is>
      </c>
      <c r="B67" s="15" t="inlineStr">
        <is>
          <t>TS-10</t>
        </is>
      </c>
      <c r="C67" s="15" t="inlineStr">
        <is>
          <t>TC-038</t>
        </is>
      </c>
      <c r="D67" s="15" t="inlineStr">
        <is>
          <t>AGT</t>
        </is>
      </c>
      <c r="E67" s="16" t="inlineStr">
        <is>
          <t>Agent status change request with an invalid transition is refused</t>
        </is>
      </c>
      <c r="F67" s="16" t="inlineStr">
        <is>
          <t>ops.maker</t>
        </is>
      </c>
      <c r="G67" s="16" t="inlineStr">
        <is>
          <t>1. As ops.maker POST /api/v1/backoffice/agents/{AG-000003}/status-requests ACTIVE
2. POST SUSPENDED with a reason
3. POST approvals/{id}/withdraw</t>
        </is>
      </c>
      <c r="H67" s="16" t="inlineStr">
        <is>
          <t>Active main agent AG-000003</t>
        </is>
      </c>
      <c r="I67" s="16" t="inlineStr">
        <is>
          <t>ACTIVE → ACTIVE refused with 422 INVALID_STATUS_CHANGE; ACTIVE → SUSPENDED creates a request (201)</t>
        </is>
      </c>
      <c r="J67" s="15" t="inlineStr">
        <is>
          <t>API</t>
        </is>
      </c>
      <c r="K67" s="16" t="inlineStr">
        <is>
          <t>Executed – API run (tools/testing/api-test-run.mjs)</t>
        </is>
      </c>
      <c r="L67" s="17" t="inlineStr">
        <is>
          <t>Passed</t>
        </is>
      </c>
      <c r="M67" s="16" t="inlineStr">
        <is>
          <t>api-test-run.json EX-078: POST /api/v1/backoffice/agents/f8fad9ca-f327-4a4a-b2aa-c516fb82000f/status-requests (ACTIVE; SUSPENDED); withdraw → 422 INVALID_STATUS_CHANGE – Status cannot change from ACTIVE to ACTIVE | 201 PENDING | withdraw 200 WITHDRAWN</t>
        </is>
      </c>
      <c r="N67" s="16" t="inlineStr">
        <is>
          <t>2 Oct 2026 22:13 UTC</t>
        </is>
      </c>
      <c r="O67" s="16" t="inlineStr">
        <is>
          <t>iorta TechNXT QA (API run)</t>
        </is>
      </c>
      <c r="P67" s="16" t="inlineStr"/>
    </row>
    <row r="68">
      <c r="A68" s="15" t="inlineStr">
        <is>
          <t>CS-0067</t>
        </is>
      </c>
      <c r="B68" s="15" t="inlineStr">
        <is>
          <t>TS-10</t>
        </is>
      </c>
      <c r="C68" s="15" t="inlineStr">
        <is>
          <t>TC-038</t>
        </is>
      </c>
      <c r="D68" s="15" t="inlineStr">
        <is>
          <t>AGT</t>
        </is>
      </c>
      <c r="E68" s="16" t="inlineStr">
        <is>
          <t>Agent status change request and approval detail</t>
        </is>
      </c>
      <c r="F68" s="16" t="inlineStr">
        <is>
          <t>ops.maker, ops.checker</t>
        </is>
      </c>
      <c r="G68" s="16" t="inlineStr">
        <is>
          <t>1. Open an agent
2. Request a status change
3. Checker opens the approval</t>
        </is>
      </c>
      <c r="H68" s="16" t="inlineStr">
        <is>
          <t>Suspend AG-000003</t>
        </is>
      </c>
      <c r="I68" s="16" t="inlineStr">
        <is>
          <t>Status modal validates reason; approval shows the change</t>
        </is>
      </c>
      <c r="J68" s="15" t="inlineStr">
        <is>
          <t>UI</t>
        </is>
      </c>
      <c r="K68" s="16" t="inlineStr">
        <is>
          <t>Manual (exploratory)</t>
        </is>
      </c>
      <c r="L68" s="17" t="inlineStr">
        <is>
          <t>Passed</t>
        </is>
      </c>
      <c r="M68" s="16" t="inlineStr">
        <is>
          <t>Screens: b-flow-status-modal.png, b-bo-approval-agent.png (evidence/ui-screens)</t>
        </is>
      </c>
      <c r="N68" s="16" t="inlineStr">
        <is>
          <t>2 Oct 2026</t>
        </is>
      </c>
      <c r="O68" s="16" t="inlineStr">
        <is>
          <t>iorta QA (manual, exploratory)</t>
        </is>
      </c>
      <c r="P68" s="16" t="inlineStr"/>
    </row>
    <row r="69">
      <c r="A69" s="15" t="inlineStr">
        <is>
          <t>CS-0068</t>
        </is>
      </c>
      <c r="B69" s="15" t="inlineStr">
        <is>
          <t>TS-10</t>
        </is>
      </c>
      <c r="C69" s="15" t="inlineStr">
        <is>
          <t>TC-039</t>
        </is>
      </c>
      <c r="D69" s="15" t="inlineStr">
        <is>
          <t>AGT</t>
        </is>
      </c>
      <c r="E69" s="16" t="inlineStr">
        <is>
          <t>Agency maintenance: validation and creation</t>
        </is>
      </c>
      <c r="F69" s="16" t="inlineStr">
        <is>
          <t>manager</t>
        </is>
      </c>
      <c r="G69" s="16" t="inlineStr">
        <is>
          <t>1. As manager POST /api/v1/backoffice/agencies with code 'bad code'
2. POST with code AGY-&lt;run&gt;, channel AGENCY</t>
        </is>
      </c>
      <c r="H69" s="16" t="inlineStr">
        <is>
          <t>New agency</t>
        </is>
      </c>
      <c r="I69" s="16" t="inlineStr">
        <is>
          <t>Invalid code → 400; valid agency → 201 with status ACTIVE</t>
        </is>
      </c>
      <c r="J69" s="15" t="inlineStr">
        <is>
          <t>API</t>
        </is>
      </c>
      <c r="K69" s="16" t="inlineStr">
        <is>
          <t>Executed – API run (tools/testing/api-test-run.mjs)</t>
        </is>
      </c>
      <c r="L69" s="17" t="inlineStr">
        <is>
          <t>Passed</t>
        </is>
      </c>
      <c r="M69" s="16" t="inlineStr">
        <is>
          <t>api-test-run.json EX-079: POST /api/v1/backoffice/agencies → 400 | 201 AGY-RIR5X2 ACTIVE</t>
        </is>
      </c>
      <c r="N69" s="16" t="inlineStr">
        <is>
          <t>2 Oct 2026 22:13 UTC</t>
        </is>
      </c>
      <c r="O69" s="16" t="inlineStr">
        <is>
          <t>iorta TechNXT QA (API run)</t>
        </is>
      </c>
      <c r="P69" s="16" t="inlineStr"/>
    </row>
    <row r="70">
      <c r="A70" s="15" t="inlineStr">
        <is>
          <t>CS-0069</t>
        </is>
      </c>
      <c r="B70" s="15" t="inlineStr">
        <is>
          <t>TS-10</t>
        </is>
      </c>
      <c r="C70" s="15" t="inlineStr">
        <is>
          <t>TC-039</t>
        </is>
      </c>
      <c r="D70" s="15" t="inlineStr">
        <is>
          <t>AGT</t>
        </is>
      </c>
      <c r="E70" s="16" t="inlineStr">
        <is>
          <t>Agency maintenance</t>
        </is>
      </c>
      <c r="F70" s="16" t="inlineStr">
        <is>
          <t>manager</t>
        </is>
      </c>
      <c r="G70" s="16" t="inlineStr">
        <is>
          <t>1. Agencies &amp; banks → New
2. Submit invalid, then valid data
3. Open the agency</t>
        </is>
      </c>
      <c r="H70" s="16" t="inlineStr">
        <is>
          <t>New agency</t>
        </is>
      </c>
      <c r="I70" s="16" t="inlineStr">
        <is>
          <t>Validation shown; agency created and listed with its agents</t>
        </is>
      </c>
      <c r="J70" s="15" t="inlineStr">
        <is>
          <t>UI</t>
        </is>
      </c>
      <c r="K70" s="16" t="inlineStr">
        <is>
          <t>Manual (exploratory)</t>
        </is>
      </c>
      <c r="L70" s="17" t="inlineStr">
        <is>
          <t>Passed</t>
        </is>
      </c>
      <c r="M70" s="16" t="inlineStr">
        <is>
          <t>Screens: b-bo-agencies.png, b-flow-agency-validation.png, b-flow-agency-detail.png (evidence/ui-screens)</t>
        </is>
      </c>
      <c r="N70" s="16" t="inlineStr">
        <is>
          <t>2 Oct 2026</t>
        </is>
      </c>
      <c r="O70" s="16" t="inlineStr">
        <is>
          <t>iorta QA (manual, exploratory)</t>
        </is>
      </c>
      <c r="P70" s="16" t="inlineStr"/>
    </row>
    <row r="71">
      <c r="A71" s="15" t="inlineStr">
        <is>
          <t>CS-0070</t>
        </is>
      </c>
      <c r="B71" s="15" t="inlineStr">
        <is>
          <t>TS-10</t>
        </is>
      </c>
      <c r="C71" s="15" t="inlineStr">
        <is>
          <t>TC-040</t>
        </is>
      </c>
      <c r="D71" s="15" t="inlineStr">
        <is>
          <t>AGT</t>
        </is>
      </c>
      <c r="E71" s="16" t="inlineStr">
        <is>
          <t>Back-office agent registration with validation</t>
        </is>
      </c>
      <c r="F71" s="16" t="inlineStr">
        <is>
          <t>ops.maker</t>
        </is>
      </c>
      <c r="G71" s="16" t="inlineStr">
        <is>
          <t>1. Agents &amp; bankers → New agent
2. Submit with invalid data
3. Submit valid data</t>
        </is>
      </c>
      <c r="H71" s="16" t="inlineStr">
        <is>
          <t>Agent under AGY-DT</t>
        </is>
      </c>
      <c r="I71" s="16" t="inlineStr">
        <is>
          <t>Validation messages; agent registered pending approval</t>
        </is>
      </c>
      <c r="J71" s="15" t="inlineStr">
        <is>
          <t>UI</t>
        </is>
      </c>
      <c r="K71" s="16" t="inlineStr">
        <is>
          <t>Manual (exploratory)</t>
        </is>
      </c>
      <c r="L71" s="17" t="inlineStr">
        <is>
          <t>Passed</t>
        </is>
      </c>
      <c r="M71" s="16" t="inlineStr">
        <is>
          <t>Screens: b-bo-agent-new.png, b-flow-bo-register-filled.png, b-flow-bo-registered.png (evidence/ui-screens)</t>
        </is>
      </c>
      <c r="N71" s="16" t="inlineStr">
        <is>
          <t>2 Oct 2026</t>
        </is>
      </c>
      <c r="O71" s="16" t="inlineStr">
        <is>
          <t>iorta QA (manual, exploratory)</t>
        </is>
      </c>
      <c r="P71" s="16" t="inlineStr"/>
    </row>
    <row r="72">
      <c r="A72" s="15" t="inlineStr">
        <is>
          <t>CS-0071</t>
        </is>
      </c>
      <c r="B72" s="15" t="inlineStr">
        <is>
          <t>TS-11</t>
        </is>
      </c>
      <c r="C72" s="15" t="inlineStr">
        <is>
          <t>TC-041</t>
        </is>
      </c>
      <c r="D72" s="15" t="inlineStr">
        <is>
          <t>PAR</t>
        </is>
      </c>
      <c r="E72" s="16" t="inlineStr">
        <is>
          <t>Corporate participant must use a business registration number</t>
        </is>
      </c>
      <c r="F72" s="16" t="inlineStr">
        <is>
          <t>ag-000001</t>
        </is>
      </c>
      <c r="G72" s="16" t="inlineStr">
        <is>
          <t>1. POST /api/v1/portal/participants type CORPORATE with idType NRIC</t>
        </is>
      </c>
      <c r="H72" s="16" t="inlineStr">
        <is>
          <t>Syarikat Contoh Sdn Bhd</t>
        </is>
      </c>
      <c r="I72" s="16" t="inlineStr">
        <is>
          <t>HTTP 422 INVALID_ID_TYPE</t>
        </is>
      </c>
      <c r="J72" s="15" t="inlineStr">
        <is>
          <t>API</t>
        </is>
      </c>
      <c r="K72" s="16" t="inlineStr">
        <is>
          <t>Executed – API run (tools/testing/api-test-run.mjs)</t>
        </is>
      </c>
      <c r="L72" s="17" t="inlineStr">
        <is>
          <t>Passed</t>
        </is>
      </c>
      <c r="M72" s="16" t="inlineStr">
        <is>
          <t>api-test-run.json EX-012: POST /api/v1/portal/participants (CORPORATE with NRIC) → 422 INVALID_ID_TYPE – Corporate participants are identified by business registration number</t>
        </is>
      </c>
      <c r="N72" s="16" t="inlineStr">
        <is>
          <t>2 Oct 2026 22:13 UTC</t>
        </is>
      </c>
      <c r="O72" s="16" t="inlineStr">
        <is>
          <t>iorta TechNXT QA (API run)</t>
        </is>
      </c>
      <c r="P72" s="16" t="inlineStr"/>
    </row>
    <row r="73">
      <c r="A73" s="15" t="inlineStr">
        <is>
          <t>CS-0072</t>
        </is>
      </c>
      <c r="B73" s="15" t="inlineStr">
        <is>
          <t>TS-11</t>
        </is>
      </c>
      <c r="C73" s="15" t="inlineStr">
        <is>
          <t>TC-042</t>
        </is>
      </c>
      <c r="D73" s="15" t="inlineStr">
        <is>
          <t>PAR</t>
        </is>
      </c>
      <c r="E73" s="16" t="inlineStr">
        <is>
          <t>Register an individual participant</t>
        </is>
      </c>
      <c r="F73" s="16" t="inlineStr">
        <is>
          <t>ag-000001</t>
        </is>
      </c>
      <c r="G73" s="16" t="inlineStr">
        <is>
          <t>1. POST /api/v1/portal/participants with an individual NRIC participant
2. Inspect participantNo, amlStatus and idNumberMasked</t>
        </is>
      </c>
      <c r="H73" s="16" t="inlineStr">
        <is>
          <t>Nur Hidayah binti Kamal, NRIC 01-9nnnnn, class 1 professional</t>
        </is>
      </c>
      <c r="I73" s="16" t="inlineStr">
        <is>
          <t>HTTP 201; participantNo PT/yy/nnnnnn; amlStatus CLEAR; IC returned masked only</t>
        </is>
      </c>
      <c r="J73" s="15" t="inlineStr">
        <is>
          <t>API</t>
        </is>
      </c>
      <c r="K73" s="16" t="inlineStr">
        <is>
          <t>Executed – API run (tools/testing/api-test-run.mjs)</t>
        </is>
      </c>
      <c r="L73" s="17" t="inlineStr">
        <is>
          <t>Passed</t>
        </is>
      </c>
      <c r="M73" s="16" t="inlineStr">
        <is>
          <t>api-test-run.json EX-010: POST /api/v1/portal/participants (NRIC, class 1 professional) → 201 PT/26/000076 aml=CLEAR id=*****8603</t>
        </is>
      </c>
      <c r="N73" s="16" t="inlineStr">
        <is>
          <t>2 Oct 2026 22:13 UTC</t>
        </is>
      </c>
      <c r="O73" s="16" t="inlineStr">
        <is>
          <t>iorta TechNXT QA (API run)</t>
        </is>
      </c>
      <c r="P73" s="16" t="inlineStr"/>
    </row>
    <row r="74">
      <c r="A74" s="15" t="inlineStr">
        <is>
          <t>CS-0073</t>
        </is>
      </c>
      <c r="B74" s="15" t="inlineStr">
        <is>
          <t>TS-11</t>
        </is>
      </c>
      <c r="C74" s="15" t="inlineStr">
        <is>
          <t>TC-042</t>
        </is>
      </c>
      <c r="D74" s="15" t="inlineStr">
        <is>
          <t>PAR</t>
        </is>
      </c>
      <c r="E74" s="16" t="inlineStr">
        <is>
          <t>Journey: participant registered and auto-cleared by AML (suite)</t>
        </is>
      </c>
      <c r="F74" s="16" t="inlineStr">
        <is>
          <t>ag-000002, bk-000004, ops.maker, finance, underwriter</t>
        </is>
      </c>
      <c r="G74" s="16" t="inlineStr">
        <is>
          <t>1. Run `npm run test:e2e -w apps/api` (rebuilds the iift_test database from the migrations and seeds)
2. POST /portal/participants Nur Hidayah binti Kamal</t>
        </is>
      </c>
      <c r="H74" s="16" t="inlineStr">
        <is>
          <t>NRIC 01-990011</t>
        </is>
      </c>
      <c r="I74" s="16" t="inlineStr">
        <is>
          <t>201; amlStatus CLEAR</t>
        </is>
      </c>
      <c r="J74" s="15" t="inlineStr">
        <is>
          <t>E2E</t>
        </is>
      </c>
      <c r="K74" s="16" t="inlineStr">
        <is>
          <t>Automated – apps/api/test/policy-lifecycle.e2e-spec.ts › runs the full Professional Takaful Plan journey with maker-checker payment verification</t>
        </is>
      </c>
      <c r="L74" s="17" t="inlineStr">
        <is>
          <t>Passed</t>
        </is>
      </c>
      <c r="M74" s="16" t="inlineStr">
        <is>
          <t>api-e2e-tests.json: 'Quotation to e-Policy and e-Receipt (FFR03, AP-17..45, BO-16..19) runs the full Professional Takaful Plan journey with maker-checker payment verification' passed (2 Oct 2026 14:55 UTC); test-reruns.json: passed (2 Oct 2026 22:00 UTC)</t>
        </is>
      </c>
      <c r="N74" s="16" t="inlineStr">
        <is>
          <t>2 Oct 2026 22:00 UTC</t>
        </is>
      </c>
      <c r="O74" s="16" t="inlineStr">
        <is>
          <t>iorta QA (Vitest e2e, iift_test database)</t>
        </is>
      </c>
      <c r="P74" s="16" t="inlineStr"/>
    </row>
    <row r="75">
      <c r="A75" s="15" t="inlineStr">
        <is>
          <t>CS-0074</t>
        </is>
      </c>
      <c r="B75" s="15" t="inlineStr">
        <is>
          <t>TS-11</t>
        </is>
      </c>
      <c r="C75" s="15" t="inlineStr">
        <is>
          <t>TC-042</t>
        </is>
      </c>
      <c r="D75" s="15" t="inlineStr">
        <is>
          <t>PAR</t>
        </is>
      </c>
      <c r="E75" s="16" t="inlineStr">
        <is>
          <t>Participant registration and update request</t>
        </is>
      </c>
      <c r="F75" s="16" t="inlineStr">
        <is>
          <t>ag-000001</t>
        </is>
      </c>
      <c r="G75" s="16" t="inlineStr">
        <is>
          <t>1. Open Participants
2. New participant
3. Save
4. Edit and submit an update</t>
        </is>
      </c>
      <c r="H75" s="16" t="inlineStr">
        <is>
          <t>Individual participant</t>
        </is>
      </c>
      <c r="I75" s="16" t="inlineStr">
        <is>
          <t>Participant created with number; update request pending approval</t>
        </is>
      </c>
      <c r="J75" s="15" t="inlineStr">
        <is>
          <t>UI</t>
        </is>
      </c>
      <c r="K75" s="16" t="inlineStr">
        <is>
          <t>Manual (exploratory)</t>
        </is>
      </c>
      <c r="L75" s="17" t="inlineStr">
        <is>
          <t>Passed</t>
        </is>
      </c>
      <c r="M75" s="16" t="inlineStr">
        <is>
          <t>Screens: a-participants.png, a-participant-new.png, a-participant-created.png, a-participant-update.png (evidence/ui-screens)</t>
        </is>
      </c>
      <c r="N75" s="16" t="inlineStr">
        <is>
          <t>2 Oct 2026</t>
        </is>
      </c>
      <c r="O75" s="16" t="inlineStr">
        <is>
          <t>iorta QA (manual, exploratory)</t>
        </is>
      </c>
      <c r="P75" s="16" t="inlineStr"/>
    </row>
    <row r="76">
      <c r="A76" s="15" t="inlineStr">
        <is>
          <t>CS-0075</t>
        </is>
      </c>
      <c r="B76" s="15" t="inlineStr">
        <is>
          <t>TS-11</t>
        </is>
      </c>
      <c r="C76" s="15" t="inlineStr">
        <is>
          <t>TC-043</t>
        </is>
      </c>
      <c r="D76" s="15" t="inlineStr">
        <is>
          <t>PAR</t>
        </is>
      </c>
      <c r="E76" s="16" t="inlineStr">
        <is>
          <t>Participant search in the back-office</t>
        </is>
      </c>
      <c r="F76" s="16" t="inlineStr">
        <is>
          <t>ops.maker</t>
        </is>
      </c>
      <c r="G76" s="16" t="inlineStr">
        <is>
          <t>1. Search by name, number and exact ID</t>
        </is>
      </c>
      <c r="H76" s="16" t="inlineStr">
        <is>
          <t>Seeded participants</t>
        </is>
      </c>
      <c r="I76" s="16" t="inlineStr">
        <is>
          <t>Matching records only</t>
        </is>
      </c>
      <c r="J76" s="15" t="inlineStr">
        <is>
          <t>UI</t>
        </is>
      </c>
      <c r="K76" s="16" t="inlineStr">
        <is>
          <t>Not automated</t>
        </is>
      </c>
      <c r="L76" s="18" t="inlineStr">
        <is>
          <t>Not executed</t>
        </is>
      </c>
      <c r="M76" s="16" t="inlineStr">
        <is>
          <t>Not executed – UI under restyling; API list verified in the suites</t>
        </is>
      </c>
      <c r="N76" s="16" t="inlineStr"/>
      <c r="O76" s="16" t="inlineStr"/>
      <c r="P76" s="16" t="inlineStr"/>
    </row>
    <row r="77">
      <c r="A77" s="15" t="inlineStr">
        <is>
          <t>CS-0076</t>
        </is>
      </c>
      <c r="B77" s="15" t="inlineStr">
        <is>
          <t>TS-11</t>
        </is>
      </c>
      <c r="C77" s="15" t="inlineStr">
        <is>
          <t>TC-044</t>
        </is>
      </c>
      <c r="D77" s="15" t="inlineStr">
        <is>
          <t>PAR</t>
        </is>
      </c>
      <c r="E77" s="16" t="inlineStr">
        <is>
          <t>Participant update goes through approval; empty and duplicate requests are refused</t>
        </is>
      </c>
      <c r="F77" s="16" t="inlineStr">
        <is>
          <t>ag-000001</t>
        </is>
      </c>
      <c r="G77" s="16" t="inlineStr">
        <is>
          <t>1. POST /api/v1/portal/participants/{id}/update-requests with an empty body
2. POST with mobile and addressLine2 changed
3. POST another change while the first is pending</t>
        </is>
      </c>
      <c r="H77" s="16" t="inlineStr">
        <is>
          <t>Participant of EX-010</t>
        </is>
      </c>
      <c r="I77" s="16" t="inlineStr">
        <is>
          <t>Empty body → 422 NO_CHANGES; a change → 201 approval request (PARTICIPANT_UPDATE, PENDING) with before/after values; a second request while one is pending → 422 REQUEST_ALREADY_PENDING</t>
        </is>
      </c>
      <c r="J77" s="15" t="inlineStr">
        <is>
          <t>API</t>
        </is>
      </c>
      <c r="K77" s="16" t="inlineStr">
        <is>
          <t>Executed – API run (tools/testing/api-test-run.mjs)</t>
        </is>
      </c>
      <c r="L77" s="17" t="inlineStr">
        <is>
          <t>Passed</t>
        </is>
      </c>
      <c r="M77" s="16" t="inlineStr">
        <is>
          <t>api-test-run.json EX-016: POST /api/v1/portal/participants/6558a123-ebc2-4cd2-878e-79354f702c6b/update-requests (empty; changed mobile; another change) → 422 NO_CHANGES – No changes were submitted | 201 PARTICIPANT_UPDATE PENDING before={"mobile":"6738111222","addressLine2":null} | 422 REQUEST_ALREADY_PENDING – A request for this record is already awaiting approval</t>
        </is>
      </c>
      <c r="N77" s="16" t="inlineStr">
        <is>
          <t>2 Oct 2026 22:13 UTC</t>
        </is>
      </c>
      <c r="O77" s="16" t="inlineStr">
        <is>
          <t>iorta TechNXT QA (API run)</t>
        </is>
      </c>
      <c r="P77" s="16" t="inlineStr"/>
    </row>
    <row r="78">
      <c r="A78" s="15" t="inlineStr">
        <is>
          <t>CS-0077</t>
        </is>
      </c>
      <c r="B78" s="15" t="inlineStr">
        <is>
          <t>TS-12</t>
        </is>
      </c>
      <c r="C78" s="15" t="inlineStr">
        <is>
          <t>TC-045</t>
        </is>
      </c>
      <c r="D78" s="15" t="inlineStr">
        <is>
          <t>PAR</t>
        </is>
      </c>
      <c r="E78" s="16" t="inlineStr">
        <is>
          <t>Duplicate participant (same IC) is refused with the existing record</t>
        </is>
      </c>
      <c r="F78" s="16" t="inlineStr">
        <is>
          <t>ag-000001</t>
        </is>
      </c>
      <c r="G78" s="16" t="inlineStr">
        <is>
          <t>1. POST /api/v1/portal/participants again with the same NRIC</t>
        </is>
      </c>
      <c r="H78" s="16" t="inlineStr">
        <is>
          <t>Same IC as EX-010</t>
        </is>
      </c>
      <c r="I78" s="16" t="inlineStr">
        <is>
          <t>HTTP 422 DUPLICATE_PARTICIPANT naming the existing participant number</t>
        </is>
      </c>
      <c r="J78" s="15" t="inlineStr">
        <is>
          <t>API</t>
        </is>
      </c>
      <c r="K78" s="16" t="inlineStr">
        <is>
          <t>Executed – API run (tools/testing/api-test-run.mjs)</t>
        </is>
      </c>
      <c r="L78" s="17" t="inlineStr">
        <is>
          <t>Passed</t>
        </is>
      </c>
      <c r="M78" s="16" t="inlineStr">
        <is>
          <t>api-test-run.json EX-011: POST /api/v1/portal/participants (same IC) → 422 DUPLICATE_PARTICIPANT – This participant is already registered as PT/26/000076 [6558a123-ebc2-4cd2-878e-79354f702c6b]</t>
        </is>
      </c>
      <c r="N78" s="16" t="inlineStr">
        <is>
          <t>2 Oct 2026 22:13 UTC</t>
        </is>
      </c>
      <c r="O78" s="16" t="inlineStr">
        <is>
          <t>iorta TechNXT QA (API run)</t>
        </is>
      </c>
      <c r="P78" s="16" t="inlineStr"/>
    </row>
    <row r="79">
      <c r="A79" s="15" t="inlineStr">
        <is>
          <t>CS-0078</t>
        </is>
      </c>
      <c r="B79" s="15" t="inlineStr">
        <is>
          <t>TS-12</t>
        </is>
      </c>
      <c r="C79" s="15" t="inlineStr">
        <is>
          <t>TC-045</t>
        </is>
      </c>
      <c r="D79" s="15" t="inlineStr">
        <is>
          <t>PAR</t>
        </is>
      </c>
      <c r="E79" s="16" t="inlineStr">
        <is>
          <t>Duplicate participant detected in the wizard</t>
        </is>
      </c>
      <c r="F79" s="16" t="inlineStr">
        <is>
          <t>ag-000001</t>
        </is>
      </c>
      <c r="G79" s="16" t="inlineStr">
        <is>
          <t>1. In the participant step enter an IC already registered
2. Click Register</t>
        </is>
      </c>
      <c r="H79" s="16" t="inlineStr">
        <is>
          <t>Existing IC</t>
        </is>
      </c>
      <c r="I79" s="16" t="inlineStr">
        <is>
          <t>Warning names the existing participant number and offers 'Use existing participant'</t>
        </is>
      </c>
      <c r="J79" s="15" t="inlineStr">
        <is>
          <t>UI</t>
        </is>
      </c>
      <c r="K79" s="16" t="inlineStr">
        <is>
          <t>Manual (exploratory)</t>
        </is>
      </c>
      <c r="L79" s="17" t="inlineStr">
        <is>
          <t>Passed</t>
        </is>
      </c>
      <c r="M79" s="16" t="inlineStr">
        <is>
          <t>Screens: a-wizard-duplicate.png, a-wizard-duplicate-used.png, a-participant-duplicate.png (evidence/ui-screens)</t>
        </is>
      </c>
      <c r="N79" s="16" t="inlineStr">
        <is>
          <t>2 Oct 2026</t>
        </is>
      </c>
      <c r="O79" s="16" t="inlineStr">
        <is>
          <t>iorta QA (manual, exploratory)</t>
        </is>
      </c>
      <c r="P79" s="16" t="inlineStr"/>
    </row>
    <row r="80">
      <c r="A80" s="15" t="inlineStr">
        <is>
          <t>CS-0079</t>
        </is>
      </c>
      <c r="B80" s="15" t="inlineStr">
        <is>
          <t>TS-12</t>
        </is>
      </c>
      <c r="C80" s="15" t="inlineStr">
        <is>
          <t>TC-046</t>
        </is>
      </c>
      <c r="D80" s="15" t="inlineStr">
        <is>
          <t>PAR</t>
        </is>
      </c>
      <c r="E80" s="16" t="inlineStr">
        <is>
          <t>Exact-ID lookup from another agency returns a masked summary only (single shared profile)</t>
        </is>
      </c>
      <c r="F80" s="16" t="inlineStr">
        <is>
          <t>ag-000003</t>
        </is>
      </c>
      <c r="G80" s="16" t="inlineStr">
        <is>
          <t>1. As ag-000003 GET /api/v1/portal/participants/lookup?idType=NRIC&amp;idNumber=&lt;EX-010 IC&gt;</t>
        </is>
      </c>
      <c r="H80" s="16" t="inlineStr">
        <is>
          <t>Participant of agency AGY-SA</t>
        </is>
      </c>
      <c r="I80" s="16" t="inlineStr">
        <is>
          <t>HTTP 200 found=true with participant number and masked name; no address or contact details</t>
        </is>
      </c>
      <c r="J80" s="15" t="inlineStr">
        <is>
          <t>API</t>
        </is>
      </c>
      <c r="K80" s="16" t="inlineStr">
        <is>
          <t>Executed – API run (tools/testing/api-test-run.mjs)</t>
        </is>
      </c>
      <c r="L80" s="17" t="inlineStr">
        <is>
          <t>Passed</t>
        </is>
      </c>
      <c r="M80" s="16" t="inlineStr">
        <is>
          <t>api-test-run.json EX-014: GET /api/v1/portal/participants/lookup → 200 {"found":true,"participant":{"id":"6558a123-ebc2-4cd2-878e-79354f702c6b","participantNo":"PT/26/000076","fullName":"Nur Hidayah binti Kamal RIR5X2","idNumberMas</t>
        </is>
      </c>
      <c r="N80" s="16" t="inlineStr">
        <is>
          <t>2 Oct 2026 22:13 UTC</t>
        </is>
      </c>
      <c r="O80" s="16" t="inlineStr">
        <is>
          <t>iorta TechNXT QA (API run)</t>
        </is>
      </c>
      <c r="P80" s="16" t="inlineStr"/>
    </row>
    <row r="81">
      <c r="A81" s="15" t="inlineStr">
        <is>
          <t>CS-0080</t>
        </is>
      </c>
      <c r="B81" s="15" t="inlineStr">
        <is>
          <t>TS-12</t>
        </is>
      </c>
      <c r="C81" s="15" t="inlineStr">
        <is>
          <t>TC-047</t>
        </is>
      </c>
      <c r="D81" s="15" t="inlineStr">
        <is>
          <t>PAR</t>
        </is>
      </c>
      <c r="E81" s="16" t="inlineStr">
        <is>
          <t>Full profile is not visible to an agency without business with the participant</t>
        </is>
      </c>
      <c r="F81" s="16" t="inlineStr">
        <is>
          <t>ag-000003</t>
        </is>
      </c>
      <c r="G81" s="16" t="inlineStr">
        <is>
          <t>1. As ag-000003 GET /api/v1/portal/participants/{id of EX-010}</t>
        </is>
      </c>
      <c r="H81" s="16" t="inlineStr">
        <is>
          <t>No business between AGY-DT and the participant</t>
        </is>
      </c>
      <c r="I81" s="16" t="inlineStr">
        <is>
          <t>HTTP 403 or 404 (not disclosed)</t>
        </is>
      </c>
      <c r="J81" s="15" t="inlineStr">
        <is>
          <t>API</t>
        </is>
      </c>
      <c r="K81" s="16" t="inlineStr">
        <is>
          <t>Executed – API run (tools/testing/api-test-run.mjs)</t>
        </is>
      </c>
      <c r="L81" s="17" t="inlineStr">
        <is>
          <t>Passed</t>
        </is>
      </c>
      <c r="M81" s="16" t="inlineStr">
        <is>
          <t>api-test-run.json EX-015: GET /api/v1/portal/participants/6558a123-ebc2-4cd2-878e-79354f702c6b → 403 FORBIDDEN – This participant is not shared with your agency</t>
        </is>
      </c>
      <c r="N81" s="16" t="inlineStr">
        <is>
          <t>2 Oct 2026 22:13 UTC</t>
        </is>
      </c>
      <c r="O81" s="16" t="inlineStr">
        <is>
          <t>iorta TechNXT QA (API run)</t>
        </is>
      </c>
      <c r="P81" s="16" t="inlineStr"/>
    </row>
    <row r="82">
      <c r="A82" s="15" t="inlineStr">
        <is>
          <t>CS-0081</t>
        </is>
      </c>
      <c r="B82" s="15" t="inlineStr">
        <is>
          <t>TS-12</t>
        </is>
      </c>
      <c r="C82" s="15" t="inlineStr">
        <is>
          <t>TC-047</t>
        </is>
      </c>
      <c r="D82" s="15" t="inlineStr">
        <is>
          <t>PAR</t>
        </is>
      </c>
      <c r="E82" s="16" t="inlineStr">
        <is>
          <t>SEC-13 (OWASP A01): Participant profiles are limited to agencies that hold business with them</t>
        </is>
      </c>
      <c r="F82" s="16" t="inlineStr">
        <is>
          <t>Security tester</t>
        </is>
      </c>
      <c r="G82" s="16" t="inlineStr">
        <is>
          <t>1. Run `node tools/security/security-checks.mjs` against a fresh non-production instance with demonstration data
2. Read the result of SEC-13</t>
        </is>
      </c>
      <c r="H82" s="16" t="inlineStr">
        <is>
          <t>Demonstration users and records; crafted payloads as described in the script</t>
        </is>
      </c>
      <c r="I82" s="16" t="inlineStr">
        <is>
          <t>403 for participants with no business in the user's agency</t>
        </is>
      </c>
      <c r="J82" s="15" t="inlineStr">
        <is>
          <t>Security</t>
        </is>
      </c>
      <c r="K82" s="16" t="inlineStr">
        <is>
          <t>Automated – tools/security/security-checks.mjs</t>
        </is>
      </c>
      <c r="L82" s="17" t="inlineStr">
        <is>
          <t>Passed</t>
        </is>
      </c>
      <c r="M82" s="16" t="inlineStr">
        <is>
          <t>security-checks.json: SEC-13 PASS (2 Oct 2026 14:57 UTC); evidence summarised in the Security Assessment Report</t>
        </is>
      </c>
      <c r="N82" s="16" t="inlineStr">
        <is>
          <t>2 Oct 2026 14:57 UTC</t>
        </is>
      </c>
      <c r="O82" s="16" t="inlineStr">
        <is>
          <t>iorta QA (security-checks.mjs)</t>
        </is>
      </c>
      <c r="P82" s="16" t="inlineStr"/>
    </row>
    <row r="83">
      <c r="A83" s="15" t="inlineStr">
        <is>
          <t>CS-0082</t>
        </is>
      </c>
      <c r="B83" s="15" t="inlineStr">
        <is>
          <t>TS-13</t>
        </is>
      </c>
      <c r="C83" s="15" t="inlineStr">
        <is>
          <t>TC-048</t>
        </is>
      </c>
      <c r="D83" s="15" t="inlineStr">
        <is>
          <t>AML</t>
        </is>
      </c>
      <c r="E83" s="16" t="inlineStr">
        <is>
          <t>name matching: implements Jaro-Winkler</t>
        </is>
      </c>
      <c r="F83" s="16" t="inlineStr">
        <is>
          <t>Developer / CI</t>
        </is>
      </c>
      <c r="G83" s="16" t="inlineStr">
        <is>
          <t>1. Run `npm test -w apps/api` (Vitest)
2. Locate 'name matching implements Jaro-Winkler' in the run output</t>
        </is>
      </c>
      <c r="H83" s="16" t="inlineStr">
        <is>
          <t>Fixtures defined in modules/aml/name-matching.spec.ts</t>
        </is>
      </c>
      <c r="I83" s="16" t="inlineStr">
        <is>
          <t>The test passes: name matching implements Jaro-Winkler.</t>
        </is>
      </c>
      <c r="J83" s="15" t="inlineStr">
        <is>
          <t>Unit</t>
        </is>
      </c>
      <c r="K83" s="16" t="inlineStr">
        <is>
          <t>Automated – modules/aml/name-matching.spec.ts</t>
        </is>
      </c>
      <c r="L83" s="17" t="inlineStr">
        <is>
          <t>Passed</t>
        </is>
      </c>
      <c r="M83" s="16" t="inlineStr">
        <is>
          <t>api-unit-tests.json: 'name matching implements Jaro-Winkler' passed (2 Oct 2026 14:55 UTC); test-reruns.json: passed (2 Oct 2026 21:45 UTC)</t>
        </is>
      </c>
      <c r="N83" s="16" t="inlineStr">
        <is>
          <t>2 Oct 2026 21:45 UTC</t>
        </is>
      </c>
      <c r="O83" s="16" t="inlineStr">
        <is>
          <t>iorta QA (Vitest)</t>
        </is>
      </c>
      <c r="P83" s="16" t="inlineStr"/>
    </row>
    <row r="84">
      <c r="A84" s="15" t="inlineStr">
        <is>
          <t>CS-0083</t>
        </is>
      </c>
      <c r="B84" s="15" t="inlineStr">
        <is>
          <t>TS-13</t>
        </is>
      </c>
      <c r="C84" s="15" t="inlineStr">
        <is>
          <t>TC-048</t>
        </is>
      </c>
      <c r="D84" s="15" t="inlineStr">
        <is>
          <t>AML</t>
        </is>
      </c>
      <c r="E84" s="16" t="inlineStr">
        <is>
          <t>name matching: normalises case, punctuation, honorifics and common spellings</t>
        </is>
      </c>
      <c r="F84" s="16" t="inlineStr">
        <is>
          <t>Developer / CI</t>
        </is>
      </c>
      <c r="G84" s="16" t="inlineStr">
        <is>
          <t>1. Run `npm test -w apps/api` (Vitest)
2. Locate 'name matching normalises case, punctuation, honorifics and common spellings' in the run output</t>
        </is>
      </c>
      <c r="H84" s="16" t="inlineStr">
        <is>
          <t>Fixtures defined in modules/aml/name-matching.spec.ts</t>
        </is>
      </c>
      <c r="I84" s="16" t="inlineStr">
        <is>
          <t>The test passes: name matching normalises case, punctuation, honorifics and common spellings.</t>
        </is>
      </c>
      <c r="J84" s="15" t="inlineStr">
        <is>
          <t>Unit</t>
        </is>
      </c>
      <c r="K84" s="16" t="inlineStr">
        <is>
          <t>Automated – modules/aml/name-matching.spec.ts</t>
        </is>
      </c>
      <c r="L84" s="17" t="inlineStr">
        <is>
          <t>Passed</t>
        </is>
      </c>
      <c r="M84" s="16" t="inlineStr">
        <is>
          <t>api-unit-tests.json: 'name matching normalises case, punctuation, honorifics and common spellings' passed (2 Oct 2026 14:55 UTC); test-reruns.json: passed (2 Oct 2026 21:45 UTC)</t>
        </is>
      </c>
      <c r="N84" s="16" t="inlineStr">
        <is>
          <t>2 Oct 2026 21:45 UTC</t>
        </is>
      </c>
      <c r="O84" s="16" t="inlineStr">
        <is>
          <t>iorta QA (Vitest)</t>
        </is>
      </c>
      <c r="P84" s="16" t="inlineStr"/>
    </row>
    <row r="85">
      <c r="A85" s="15" t="inlineStr">
        <is>
          <t>CS-0084</t>
        </is>
      </c>
      <c r="B85" s="15" t="inlineStr">
        <is>
          <t>TS-13</t>
        </is>
      </c>
      <c r="C85" s="15" t="inlineStr">
        <is>
          <t>TC-048</t>
        </is>
      </c>
      <c r="D85" s="15" t="inlineStr">
        <is>
          <t>AML</t>
        </is>
      </c>
      <c r="E85" s="16" t="inlineStr">
        <is>
          <t>name matching: scores close transliterations above the default review threshold</t>
        </is>
      </c>
      <c r="F85" s="16" t="inlineStr">
        <is>
          <t>Developer / CI</t>
        </is>
      </c>
      <c r="G85" s="16" t="inlineStr">
        <is>
          <t>1. Run `npm test -w apps/api` (Vitest)
2. Locate 'name matching scores close transliterations above the default review threshold' in the run output</t>
        </is>
      </c>
      <c r="H85" s="16" t="inlineStr">
        <is>
          <t>Fixtures defined in modules/aml/name-matching.spec.ts</t>
        </is>
      </c>
      <c r="I85" s="16" t="inlineStr">
        <is>
          <t>The test passes: name matching scores close transliterations above the default review threshold.</t>
        </is>
      </c>
      <c r="J85" s="15" t="inlineStr">
        <is>
          <t>Unit</t>
        </is>
      </c>
      <c r="K85" s="16" t="inlineStr">
        <is>
          <t>Automated – modules/aml/name-matching.spec.ts</t>
        </is>
      </c>
      <c r="L85" s="17" t="inlineStr">
        <is>
          <t>Passed</t>
        </is>
      </c>
      <c r="M85" s="16" t="inlineStr">
        <is>
          <t>api-unit-tests.json: 'name matching scores close transliterations above the default review threshold' passed (2 Oct 2026 14:55 UTC); test-reruns.json: passed (2 Oct 2026 21:45 UTC)</t>
        </is>
      </c>
      <c r="N85" s="16" t="inlineStr">
        <is>
          <t>2 Oct 2026 21:45 UTC</t>
        </is>
      </c>
      <c r="O85" s="16" t="inlineStr">
        <is>
          <t>iorta QA (Vitest)</t>
        </is>
      </c>
      <c r="P85" s="16" t="inlineStr"/>
    </row>
    <row r="86">
      <c r="A86" s="15" t="inlineStr">
        <is>
          <t>CS-0085</t>
        </is>
      </c>
      <c r="B86" s="15" t="inlineStr">
        <is>
          <t>TS-13</t>
        </is>
      </c>
      <c r="C86" s="15" t="inlineStr">
        <is>
          <t>TC-048</t>
        </is>
      </c>
      <c r="D86" s="15" t="inlineStr">
        <is>
          <t>AML</t>
        </is>
      </c>
      <c r="E86" s="16" t="inlineStr">
        <is>
          <t>name matching: scores identical names 100 regardless of honorific</t>
        </is>
      </c>
      <c r="F86" s="16" t="inlineStr">
        <is>
          <t>Developer / CI</t>
        </is>
      </c>
      <c r="G86" s="16" t="inlineStr">
        <is>
          <t>1. Run `npm test -w apps/api` (Vitest)
2. Locate 'name matching scores identical names 100 regardless of honorific' in the run output</t>
        </is>
      </c>
      <c r="H86" s="16" t="inlineStr">
        <is>
          <t>Fixtures defined in modules/aml/name-matching.spec.ts</t>
        </is>
      </c>
      <c r="I86" s="16" t="inlineStr">
        <is>
          <t>The test passes: name matching scores identical names 100 regardless of honorific.</t>
        </is>
      </c>
      <c r="J86" s="15" t="inlineStr">
        <is>
          <t>Unit</t>
        </is>
      </c>
      <c r="K86" s="16" t="inlineStr">
        <is>
          <t>Automated – modules/aml/name-matching.spec.ts</t>
        </is>
      </c>
      <c r="L86" s="17" t="inlineStr">
        <is>
          <t>Passed</t>
        </is>
      </c>
      <c r="M86" s="16" t="inlineStr">
        <is>
          <t>api-unit-tests.json: 'name matching scores identical names 100 regardless of honorific' passed (2 Oct 2026 14:55 UTC); test-reruns.json: passed (2 Oct 2026 21:45 UTC)</t>
        </is>
      </c>
      <c r="N86" s="16" t="inlineStr">
        <is>
          <t>2 Oct 2026 21:45 UTC</t>
        </is>
      </c>
      <c r="O86" s="16" t="inlineStr">
        <is>
          <t>iorta QA (Vitest)</t>
        </is>
      </c>
      <c r="P86" s="16" t="inlineStr"/>
    </row>
    <row r="87">
      <c r="A87" s="15" t="inlineStr">
        <is>
          <t>CS-0086</t>
        </is>
      </c>
      <c r="B87" s="15" t="inlineStr">
        <is>
          <t>TS-13</t>
        </is>
      </c>
      <c r="C87" s="15" t="inlineStr">
        <is>
          <t>TC-048</t>
        </is>
      </c>
      <c r="D87" s="15" t="inlineStr">
        <is>
          <t>AML</t>
        </is>
      </c>
      <c r="E87" s="16" t="inlineStr">
        <is>
          <t>name matching: scores unrelated names low</t>
        </is>
      </c>
      <c r="F87" s="16" t="inlineStr">
        <is>
          <t>Developer / CI</t>
        </is>
      </c>
      <c r="G87" s="16" t="inlineStr">
        <is>
          <t>1. Run `npm test -w apps/api` (Vitest)
2. Locate 'name matching scores unrelated names low' in the run output</t>
        </is>
      </c>
      <c r="H87" s="16" t="inlineStr">
        <is>
          <t>Fixtures defined in modules/aml/name-matching.spec.ts</t>
        </is>
      </c>
      <c r="I87" s="16" t="inlineStr">
        <is>
          <t>The test passes: name matching scores unrelated names low.</t>
        </is>
      </c>
      <c r="J87" s="15" t="inlineStr">
        <is>
          <t>Unit</t>
        </is>
      </c>
      <c r="K87" s="16" t="inlineStr">
        <is>
          <t>Automated – modules/aml/name-matching.spec.ts</t>
        </is>
      </c>
      <c r="L87" s="17" t="inlineStr">
        <is>
          <t>Passed</t>
        </is>
      </c>
      <c r="M87" s="16" t="inlineStr">
        <is>
          <t>api-unit-tests.json: 'name matching scores unrelated names low' passed (2 Oct 2026 14:55 UTC); test-reruns.json: passed (2 Oct 2026 21:45 UTC)</t>
        </is>
      </c>
      <c r="N87" s="16" t="inlineStr">
        <is>
          <t>2 Oct 2026 21:45 UTC</t>
        </is>
      </c>
      <c r="O87" s="16" t="inlineStr">
        <is>
          <t>iorta QA (Vitest)</t>
        </is>
      </c>
      <c r="P87" s="16" t="inlineStr"/>
    </row>
    <row r="88">
      <c r="A88" s="15" t="inlineStr">
        <is>
          <t>CS-0087</t>
        </is>
      </c>
      <c r="B88" s="15" t="inlineStr">
        <is>
          <t>TS-13</t>
        </is>
      </c>
      <c r="C88" s="15" t="inlineStr">
        <is>
          <t>TC-048</t>
        </is>
      </c>
      <c r="D88" s="15" t="inlineStr">
        <is>
          <t>AML</t>
        </is>
      </c>
      <c r="E88" s="16" t="inlineStr">
        <is>
          <t>Participant matching a watch-list name is flagged and routed to Compliance</t>
        </is>
      </c>
      <c r="F88" s="16" t="inlineStr">
        <is>
          <t>ag-000001</t>
        </is>
      </c>
      <c r="G88" s="16" t="inlineStr">
        <is>
          <t>1. POST /api/v1/portal/participants 'Rashid Al Mansouri' (passport)
2. Create a KHR quotation; complete questionnaire, nominee, documents, signature
3. POST /submit</t>
        </is>
      </c>
      <c r="H88" s="16" t="inlineStr">
        <is>
          <t>Watch-list DEMO-PEP entry; aml.match_threshold = 85</t>
        </is>
      </c>
      <c r="I88" s="16" t="inlineStr">
        <is>
          <t>HTTP 201 with amlStatus FLAGGED; quotation submission → 422 AML_REVIEW_PENDING</t>
        </is>
      </c>
      <c r="J88" s="15" t="inlineStr">
        <is>
          <t>API</t>
        </is>
      </c>
      <c r="K88" s="16" t="inlineStr">
        <is>
          <t>Executed – API run (tools/testing/api-test-run.mjs)</t>
        </is>
      </c>
      <c r="L88" s="17" t="inlineStr">
        <is>
          <t>Passed</t>
        </is>
      </c>
      <c r="M88" s="16" t="inlineStr">
        <is>
          <t>api-test-run.json EX-080: POST /api/v1/portal/participants (Rashid Al Mansouri); … submit → 201 aml=FLAGGED | 422 AML_REVIEW_PENDING – The participant is under compliance review. Submission is possible once Compliance clears the case.</t>
        </is>
      </c>
      <c r="N88" s="16" t="inlineStr">
        <is>
          <t>2 Oct 2026 22:13 UTC</t>
        </is>
      </c>
      <c r="O88" s="16" t="inlineStr">
        <is>
          <t>iorta TechNXT QA (API run)</t>
        </is>
      </c>
      <c r="P88" s="16" t="inlineStr"/>
    </row>
    <row r="89">
      <c r="A89" s="15" t="inlineStr">
        <is>
          <t>CS-0088</t>
        </is>
      </c>
      <c r="B89" s="15" t="inlineStr">
        <is>
          <t>TS-13</t>
        </is>
      </c>
      <c r="C89" s="15" t="inlineStr">
        <is>
          <t>TC-049</t>
        </is>
      </c>
      <c r="D89" s="15" t="inlineStr">
        <is>
          <t>AML</t>
        </is>
      </c>
      <c r="E89" s="16" t="inlineStr">
        <is>
          <t>Cleared participant can now be submitted</t>
        </is>
      </c>
      <c r="F89" s="16" t="inlineStr">
        <is>
          <t>ag-000001</t>
        </is>
      </c>
      <c r="G89" s="16" t="inlineStr">
        <is>
          <t>1. POST /api/v1/portal/policies/{id}/submit after clearance</t>
        </is>
      </c>
      <c r="H89" s="16" t="inlineStr">
        <is>
          <t>Quotation of EX-080</t>
        </is>
      </c>
      <c r="I89" s="16" t="inlineStr">
        <is>
          <t>POST submit → 200 PENDING_PAYMENT</t>
        </is>
      </c>
      <c r="J89" s="15" t="inlineStr">
        <is>
          <t>API</t>
        </is>
      </c>
      <c r="K89" s="16" t="inlineStr">
        <is>
          <t>Executed – API run (tools/testing/api-test-run.mjs)</t>
        </is>
      </c>
      <c r="L89" s="17" t="inlineStr">
        <is>
          <t>Passed</t>
        </is>
      </c>
      <c r="M89" s="16" t="inlineStr">
        <is>
          <t>api-test-run.json EX-082: POST /api/v1/portal/policies/75fad4ce-8360-4955-ae1d-eb9e5a5866cf/submit → 200 PENDING_PAYMENT</t>
        </is>
      </c>
      <c r="N89" s="16" t="inlineStr">
        <is>
          <t>2 Oct 2026 22:13 UTC</t>
        </is>
      </c>
      <c r="O89" s="16" t="inlineStr">
        <is>
          <t>iorta TechNXT QA (API run)</t>
        </is>
      </c>
      <c r="P89" s="16" t="inlineStr"/>
    </row>
    <row r="90">
      <c r="A90" s="15" t="inlineStr">
        <is>
          <t>CS-0089</t>
        </is>
      </c>
      <c r="B90" s="15" t="inlineStr">
        <is>
          <t>TS-13</t>
        </is>
      </c>
      <c r="C90" s="15" t="inlineStr">
        <is>
          <t>TC-050</t>
        </is>
      </c>
      <c r="D90" s="15" t="inlineStr">
        <is>
          <t>AML</t>
        </is>
      </c>
      <c r="E90" s="16" t="inlineStr">
        <is>
          <t>Compliance reviews the case: remarks mandatory, decision recorded once</t>
        </is>
      </c>
      <c r="F90" s="16" t="inlineStr">
        <is>
          <t>compliance</t>
        </is>
      </c>
      <c r="G90" s="16" t="inlineStr">
        <is>
          <t>1. As compliance GET /api/v1/backoffice/aml/cases?status=PENDING_REVIEW
2. POST aml/cases/{id}/review with empty remarks
3. POST decision CLEARED with remarks
4. POST again
5. GET the participant</t>
        </is>
      </c>
      <c r="H90" s="16" t="inlineStr">
        <is>
          <t>Case of EX-080</t>
        </is>
      </c>
      <c r="I90" s="16" t="inlineStr">
        <is>
          <t>Case listed PENDING_REVIEW with score ≥ 85; review without remarks → 400/422; CLEARED → 201; second review → 422 ALREADY_REVIEWED; participant amlStatus CLEAR</t>
        </is>
      </c>
      <c r="J90" s="15" t="inlineStr">
        <is>
          <t>API</t>
        </is>
      </c>
      <c r="K90" s="16" t="inlineStr">
        <is>
          <t>Executed – API run (tools/testing/api-test-run.mjs)</t>
        </is>
      </c>
      <c r="L90" s="17" t="inlineStr">
        <is>
          <t>Passed</t>
        </is>
      </c>
      <c r="M90" s="16" t="inlineStr">
        <is>
          <t>api-test-run.json EX-081: GET /api/v1/backoffice/aml/cases; POST aml/cases/6d10df55-9e1f-4026-ba3d-ec419307ffae/review (no remarks; CLEARED; again) → score=100 PENDING_REVIEW | 400 BAD_REQUEST – Some fields are invalid [remarks must be longer than or equal to 3 characters] | 201 | 422 ALREADY_REVIEWED – This case has already been reviewed | participant CLEAR</t>
        </is>
      </c>
      <c r="N90" s="16" t="inlineStr">
        <is>
          <t>2 Oct 2026 22:13 UTC</t>
        </is>
      </c>
      <c r="O90" s="16" t="inlineStr">
        <is>
          <t>iorta TechNXT QA (API run)</t>
        </is>
      </c>
      <c r="P90" s="16" t="inlineStr"/>
    </row>
    <row r="91">
      <c r="A91" s="15" t="inlineStr">
        <is>
          <t>CS-0090</t>
        </is>
      </c>
      <c r="B91" s="15" t="inlineStr">
        <is>
          <t>TS-13</t>
        </is>
      </c>
      <c r="C91" s="15" t="inlineStr">
        <is>
          <t>TC-050</t>
        </is>
      </c>
      <c r="D91" s="15" t="inlineStr">
        <is>
          <t>AML</t>
        </is>
      </c>
      <c r="E91" s="16" t="inlineStr">
        <is>
          <t>Watch-list match reviewed by Compliance; CSV import (suite)</t>
        </is>
      </c>
      <c r="F91" s="16" t="inlineStr">
        <is>
          <t>ag-000001, ops.checker, compliance, support, finance, manager</t>
        </is>
      </c>
      <c r="G91" s="16" t="inlineStr">
        <is>
          <t>1. Run `npm run test:e2e -w apps/api` (rebuilds the iift_test database from the migrations and seeds)
2. Review 'Ahmad Zulkifli bin Hamid' as CONFIRMED_MATCH; import a CSV line</t>
        </is>
      </c>
      <c r="H91" s="16" t="inlineStr">
        <is>
          <t>score ≥ 85</t>
        </is>
      </c>
      <c r="I91" s="16" t="inlineStr">
        <is>
          <t>201; participant REJECTED; imported = 1</t>
        </is>
      </c>
      <c r="J91" s="15" t="inlineStr">
        <is>
          <t>E2E</t>
        </is>
      </c>
      <c r="K91" s="16" t="inlineStr">
        <is>
          <t>Automated – apps/api/test/operations.e2e-spec.ts › routes a watch-list match to Compliance and records the review (AP-16, BO-13..15)</t>
        </is>
      </c>
      <c r="L91" s="17" t="inlineStr">
        <is>
          <t>Passed</t>
        </is>
      </c>
      <c r="M91" s="16" t="inlineStr">
        <is>
          <t>api-e2e-tests.json: 'Back-office operations routes a watch-list match to Compliance and records the review (AP-16, BO-13..15)' passed (2 Oct 2026 14:55 UTC); test-reruns.json: passed (2 Oct 2026 22:00 UTC)</t>
        </is>
      </c>
      <c r="N91" s="16" t="inlineStr">
        <is>
          <t>2 Oct 2026 22:00 UTC</t>
        </is>
      </c>
      <c r="O91" s="16" t="inlineStr">
        <is>
          <t>iorta QA (Vitest e2e, iift_test database)</t>
        </is>
      </c>
      <c r="P91" s="16" t="inlineStr"/>
    </row>
    <row r="92">
      <c r="A92" s="15" t="inlineStr">
        <is>
          <t>CS-0091</t>
        </is>
      </c>
      <c r="B92" s="15" t="inlineStr">
        <is>
          <t>TS-13</t>
        </is>
      </c>
      <c r="C92" s="15" t="inlineStr">
        <is>
          <t>TC-050</t>
        </is>
      </c>
      <c r="D92" s="15" t="inlineStr">
        <is>
          <t>AML</t>
        </is>
      </c>
      <c r="E92" s="16" t="inlineStr">
        <is>
          <t>AML case: flagged subject, review validation, confirmed match</t>
        </is>
      </c>
      <c r="F92" s="16" t="inlineStr">
        <is>
          <t>compliance</t>
        </is>
      </c>
      <c r="G92" s="16" t="inlineStr">
        <is>
          <t>1. Open AML / KYC
2. Open the flagged case
3. Submit the review without remarks
4. Confirm the match</t>
        </is>
      </c>
      <c r="H92" s="16" t="inlineStr">
        <is>
          <t>Viktor Petrenko</t>
        </is>
      </c>
      <c r="I92" s="16" t="inlineStr">
        <is>
          <t>Validation on empty remarks; case Confirmed match with reviewer, time and remarks</t>
        </is>
      </c>
      <c r="J92" s="15" t="inlineStr">
        <is>
          <t>UI</t>
        </is>
      </c>
      <c r="K92" s="16" t="inlineStr">
        <is>
          <t>Manual (exploratory)</t>
        </is>
      </c>
      <c r="L92" s="17" t="inlineStr">
        <is>
          <t>Passed</t>
        </is>
      </c>
      <c r="M92" s="16" t="inlineStr">
        <is>
          <t>Screens: b-flow-aml-flagged-approval.png, b-flow-aml-review-validation.png, b-flow-aml-confirmed.png, b-flow-aml-not-cleared.png (evidence/ui-screens)</t>
        </is>
      </c>
      <c r="N92" s="16" t="inlineStr">
        <is>
          <t>2 Oct 2026</t>
        </is>
      </c>
      <c r="O92" s="16" t="inlineStr">
        <is>
          <t>iorta QA (manual, exploratory)</t>
        </is>
      </c>
      <c r="P92" s="16" t="inlineStr"/>
    </row>
    <row r="93">
      <c r="A93" s="15" t="inlineStr">
        <is>
          <t>CS-0092</t>
        </is>
      </c>
      <c r="B93" s="15" t="inlineStr">
        <is>
          <t>TS-13</t>
        </is>
      </c>
      <c r="C93" s="15" t="inlineStr">
        <is>
          <t>TC-051</t>
        </is>
      </c>
      <c r="D93" s="15" t="inlineStr">
        <is>
          <t>AML</t>
        </is>
      </c>
      <c r="E93" s="16" t="inlineStr">
        <is>
          <t>AML functions are restricted to Compliance</t>
        </is>
      </c>
      <c r="F93" s="16" t="inlineStr">
        <is>
          <t>ops.maker</t>
        </is>
      </c>
      <c r="G93" s="16" t="inlineStr">
        <is>
          <t>1. As ops.maker GET /api/v1/backoffice/aml/cases</t>
        </is>
      </c>
      <c r="H93" s="16" t="inlineStr">
        <is>
          <t>ops.maker lacks bo.aml.review</t>
        </is>
      </c>
      <c r="I93" s="16" t="inlineStr">
        <is>
          <t>GET /backoffice/aml/cases → 403 FORBIDDEN for the operations officer</t>
        </is>
      </c>
      <c r="J93" s="15" t="inlineStr">
        <is>
          <t>API</t>
        </is>
      </c>
      <c r="K93" s="16" t="inlineStr">
        <is>
          <t>Executed – API run (tools/testing/api-test-run.mjs)</t>
        </is>
      </c>
      <c r="L93" s="17" t="inlineStr">
        <is>
          <t>Passed</t>
        </is>
      </c>
      <c r="M93" s="16" t="inlineStr">
        <is>
          <t>api-test-run.json EX-084: GET /api/v1/backoffice/aml/cases → 403 FORBIDDEN – You do not have permission to perform this action</t>
        </is>
      </c>
      <c r="N93" s="16" t="inlineStr">
        <is>
          <t>2 Oct 2026 22:13 UTC</t>
        </is>
      </c>
      <c r="O93" s="16" t="inlineStr">
        <is>
          <t>iorta TechNXT QA (API run)</t>
        </is>
      </c>
      <c r="P93" s="16" t="inlineStr"/>
    </row>
    <row r="94">
      <c r="A94" s="15" t="inlineStr">
        <is>
          <t>CS-0093</t>
        </is>
      </c>
      <c r="B94" s="15" t="inlineStr">
        <is>
          <t>TS-14</t>
        </is>
      </c>
      <c r="C94" s="15" t="inlineStr">
        <is>
          <t>TC-052</t>
        </is>
      </c>
      <c r="D94" s="15" t="inlineStr">
        <is>
          <t>AML</t>
        </is>
      </c>
      <c r="E94" s="16" t="inlineStr">
        <is>
          <t>parseCsv: handles quoted fields, escaped quotes and CRLF line endings</t>
        </is>
      </c>
      <c r="F94" s="16" t="inlineStr">
        <is>
          <t>Developer / CI</t>
        </is>
      </c>
      <c r="G94" s="16" t="inlineStr">
        <is>
          <t>1. Run `npm test -w apps/api` (Vitest)
2. Locate 'parseCsv handles quoted fields, escaped quotes and CRLF line endings' in the run output</t>
        </is>
      </c>
      <c r="H94" s="16" t="inlineStr">
        <is>
          <t>Fixtures defined in modules/aml/watchlist.spec.ts</t>
        </is>
      </c>
      <c r="I94" s="16" t="inlineStr">
        <is>
          <t>The test passes: parseCsv handles quoted fields, escaped quotes and CRLF line endings.</t>
        </is>
      </c>
      <c r="J94" s="15" t="inlineStr">
        <is>
          <t>Unit</t>
        </is>
      </c>
      <c r="K94" s="16" t="inlineStr">
        <is>
          <t>Automated – modules/aml/watchlist.spec.ts</t>
        </is>
      </c>
      <c r="L94" s="17" t="inlineStr">
        <is>
          <t>Passed</t>
        </is>
      </c>
      <c r="M94" s="16" t="inlineStr">
        <is>
          <t>api-unit-tests.json: 'parseCsv handles quoted fields, escaped quotes and CRLF line endings' passed (2 Oct 2026 14:55 UTC); test-reruns.json: passed (2 Oct 2026 21:45 UTC)</t>
        </is>
      </c>
      <c r="N94" s="16" t="inlineStr">
        <is>
          <t>2 Oct 2026 21:45 UTC</t>
        </is>
      </c>
      <c r="O94" s="16" t="inlineStr">
        <is>
          <t>iorta QA (Vitest)</t>
        </is>
      </c>
      <c r="P94" s="16" t="inlineStr"/>
    </row>
    <row r="95">
      <c r="A95" s="15" t="inlineStr">
        <is>
          <t>CS-0094</t>
        </is>
      </c>
      <c r="B95" s="15" t="inlineStr">
        <is>
          <t>TS-14</t>
        </is>
      </c>
      <c r="C95" s="15" t="inlineStr">
        <is>
          <t>TC-052</t>
        </is>
      </c>
      <c r="D95" s="15" t="inlineStr">
        <is>
          <t>AML</t>
        </is>
      </c>
      <c r="E95" s="16" t="inlineStr">
        <is>
          <t>Watch-list maintenance: manual entry and CSV import validation</t>
        </is>
      </c>
      <c r="F95" s="16" t="inlineStr">
        <is>
          <t>compliance</t>
        </is>
      </c>
      <c r="G95" s="16" t="inlineStr">
        <is>
          <t>1. POST /api/v1/backoffice/aml/watchlist (manual entry)
2. POST aml/watchlist/import with header 'name,list'
3. POST import with a valid CSV line</t>
        </is>
      </c>
      <c r="H95" s="16" t="inlineStr">
        <is>
          <t>LOCAL list, Doe John</t>
        </is>
      </c>
      <c r="I95" s="16" t="inlineStr">
        <is>
          <t>POST watchlist → 201; CSV with a wrong header → 422 INVALID_CSV; valid CSV → 201 imported=1</t>
        </is>
      </c>
      <c r="J95" s="15" t="inlineStr">
        <is>
          <t>API</t>
        </is>
      </c>
      <c r="K95" s="16" t="inlineStr">
        <is>
          <t>Executed – API run (tools/testing/api-test-run.mjs)</t>
        </is>
      </c>
      <c r="L95" s="17" t="inlineStr">
        <is>
          <t>Passed</t>
        </is>
      </c>
      <c r="M95" s="16" t="inlineStr">
        <is>
          <t>api-test-run.json EX-083: POST /api/v1/backoffice/aml/watchlist; POST aml/watchlist/import (bad header; valid) → 201 | 422 INVALID_CSV – The first line must be: list_name,full_name,id_number,country,reference | 201 imported=1</t>
        </is>
      </c>
      <c r="N95" s="16" t="inlineStr">
        <is>
          <t>2 Oct 2026 22:13 UTC</t>
        </is>
      </c>
      <c r="O95" s="16" t="inlineStr">
        <is>
          <t>iorta TechNXT QA (API run)</t>
        </is>
      </c>
      <c r="P95" s="16" t="inlineStr"/>
    </row>
    <row r="96">
      <c r="A96" s="15" t="inlineStr">
        <is>
          <t>CS-0095</t>
        </is>
      </c>
      <c r="B96" s="15" t="inlineStr">
        <is>
          <t>TS-14</t>
        </is>
      </c>
      <c r="C96" s="15" t="inlineStr">
        <is>
          <t>TC-053</t>
        </is>
      </c>
      <c r="D96" s="15" t="inlineStr">
        <is>
          <t>AML</t>
        </is>
      </c>
      <c r="E96" s="16" t="inlineStr">
        <is>
          <t>Watch-list maintenance and CSV import</t>
        </is>
      </c>
      <c r="F96" s="16" t="inlineStr">
        <is>
          <t>compliance</t>
        </is>
      </c>
      <c r="G96" s="16" t="inlineStr">
        <is>
          <t>1. Open Watch-lists
2. Import a CSV</t>
        </is>
      </c>
      <c r="H96" s="16" t="inlineStr">
        <is>
          <t>list.csv</t>
        </is>
      </c>
      <c r="I96" s="16" t="inlineStr">
        <is>
          <t>Entries listed; import count shown</t>
        </is>
      </c>
      <c r="J96" s="15" t="inlineStr">
        <is>
          <t>UI</t>
        </is>
      </c>
      <c r="K96" s="16" t="inlineStr">
        <is>
          <t>Manual (exploratory)</t>
        </is>
      </c>
      <c r="L96" s="17" t="inlineStr">
        <is>
          <t>Passed</t>
        </is>
      </c>
      <c r="M96" s="16" t="inlineStr">
        <is>
          <t>Screens: b-flow-watchlist.png, b-flow-watchlist-import.png (evidence/ui-screens)</t>
        </is>
      </c>
      <c r="N96" s="16" t="inlineStr">
        <is>
          <t>2 Oct 2026</t>
        </is>
      </c>
      <c r="O96" s="16" t="inlineStr">
        <is>
          <t>iorta QA (manual, exploratory)</t>
        </is>
      </c>
      <c r="P96" s="16" t="inlineStr"/>
    </row>
    <row r="97">
      <c r="A97" s="15" t="inlineStr">
        <is>
          <t>CS-0096</t>
        </is>
      </c>
      <c r="B97" s="15" t="inlineStr">
        <is>
          <t>TS-15</t>
        </is>
      </c>
      <c r="C97" s="15" t="inlineStr">
        <is>
          <t>TC-054</t>
        </is>
      </c>
      <c r="D97" s="15" t="inlineStr">
        <is>
          <t>PRD</t>
        </is>
      </c>
      <c r="E97" s="16" t="inlineStr">
        <is>
          <t>FinancingRatingEngine: calculates a decreasing-term contribution on the flat-rate financing total</t>
        </is>
      </c>
      <c r="F97" s="16" t="inlineStr">
        <is>
          <t>Developer / CI</t>
        </is>
      </c>
      <c r="G97" s="16" t="inlineStr">
        <is>
          <t>1. Run `npm test -w apps/api` (Vitest)
2. Locate 'FinancingRatingEngine calculates a decreasing-term contribution on the flat-rate financing total' in the run output</t>
        </is>
      </c>
      <c r="H97" s="16" t="inlineStr">
        <is>
          <t>Fixtures defined in modules/products/rating/financing.engine.spec.ts</t>
        </is>
      </c>
      <c r="I97" s="16" t="inlineStr">
        <is>
          <t>The test passes: FinancingRatingEngine calculates a decreasing-term contribution on the flat-rate financing total.</t>
        </is>
      </c>
      <c r="J97" s="15" t="inlineStr">
        <is>
          <t>Unit</t>
        </is>
      </c>
      <c r="K97" s="16" t="inlineStr">
        <is>
          <t>Automated – modules/products/rating/financing.engine.spec.ts</t>
        </is>
      </c>
      <c r="L97" s="17" t="inlineStr">
        <is>
          <t>Passed</t>
        </is>
      </c>
      <c r="M97" s="16" t="inlineStr">
        <is>
          <t>api-unit-tests.json: 'FinancingRatingEngine calculates a decreasing-term contribution on the flat-rate financing total' passed (2 Oct 2026 14:55 UTC); test-reruns.json: passed (2 Oct 2026 21:45 UTC)</t>
        </is>
      </c>
      <c r="N97" s="16" t="inlineStr">
        <is>
          <t>2 Oct 2026 21:45 UTC</t>
        </is>
      </c>
      <c r="O97" s="16" t="inlineStr">
        <is>
          <t>iorta QA (Vitest)</t>
        </is>
      </c>
      <c r="P97" s="16" t="inlineStr"/>
    </row>
    <row r="98">
      <c r="A98" s="15" t="inlineStr">
        <is>
          <t>CS-0097</t>
        </is>
      </c>
      <c r="B98" s="15" t="inlineStr">
        <is>
          <t>TS-15</t>
        </is>
      </c>
      <c r="C98" s="15" t="inlineStr">
        <is>
          <t>TC-055</t>
        </is>
      </c>
      <c r="D98" s="15" t="inlineStr">
        <is>
          <t>PRD</t>
        </is>
      </c>
      <c r="E98" s="16" t="inlineStr">
        <is>
          <t>FinancingRatingEngine: does not refer financing exactly at the high-risk limit</t>
        </is>
      </c>
      <c r="F98" s="16" t="inlineStr">
        <is>
          <t>Developer / CI</t>
        </is>
      </c>
      <c r="G98" s="16" t="inlineStr">
        <is>
          <t>1. Run `npm test -w apps/api` (Vitest)
2. Locate 'FinancingRatingEngine does not refer financing exactly at the high-risk limit' in the run output</t>
        </is>
      </c>
      <c r="H98" s="16" t="inlineStr">
        <is>
          <t>Fixtures defined in modules/products/rating/financing.engine.spec.ts</t>
        </is>
      </c>
      <c r="I98" s="16" t="inlineStr">
        <is>
          <t>The test passes: FinancingRatingEngine does not refer financing exactly at the high-risk limit.</t>
        </is>
      </c>
      <c r="J98" s="15" t="inlineStr">
        <is>
          <t>Unit</t>
        </is>
      </c>
      <c r="K98" s="16" t="inlineStr">
        <is>
          <t>Automated – modules/products/rating/financing.engine.spec.ts</t>
        </is>
      </c>
      <c r="L98" s="17" t="inlineStr">
        <is>
          <t>Passed</t>
        </is>
      </c>
      <c r="M98" s="16" t="inlineStr">
        <is>
          <t>api-unit-tests.json: 'FinancingRatingEngine does not refer financing exactly at the high-risk limit' passed (2 Oct 2026 14:55 UTC); test-reruns.json: passed (2 Oct 2026 21:45 UTC)</t>
        </is>
      </c>
      <c r="N98" s="16" t="inlineStr">
        <is>
          <t>2 Oct 2026 21:45 UTC</t>
        </is>
      </c>
      <c r="O98" s="16" t="inlineStr">
        <is>
          <t>iorta QA (Vitest)</t>
        </is>
      </c>
      <c r="P98" s="16" t="inlineStr"/>
    </row>
    <row r="99">
      <c r="A99" s="15" t="inlineStr">
        <is>
          <t>CS-0098</t>
        </is>
      </c>
      <c r="B99" s="15" t="inlineStr">
        <is>
          <t>TS-15</t>
        </is>
      </c>
      <c r="C99" s="15" t="inlineStr">
        <is>
          <t>TC-055</t>
        </is>
      </c>
      <c r="D99" s="15" t="inlineStr">
        <is>
          <t>PRD</t>
        </is>
      </c>
      <c r="E99" s="16" t="inlineStr">
        <is>
          <t>FinancingRatingEngine: refers financing above the B$150,000 high-risk limit to IIFT Sales</t>
        </is>
      </c>
      <c r="F99" s="16" t="inlineStr">
        <is>
          <t>Developer / CI</t>
        </is>
      </c>
      <c r="G99" s="16" t="inlineStr">
        <is>
          <t>1. Run `npm test -w apps/api` (Vitest)
2. Locate 'FinancingRatingEngine refers financing above the B$150,000 high-risk limit to IIFT Sales' in the run output</t>
        </is>
      </c>
      <c r="H99" s="16" t="inlineStr">
        <is>
          <t>Fixtures defined in modules/products/rating/financing.engine.spec.ts</t>
        </is>
      </c>
      <c r="I99" s="16" t="inlineStr">
        <is>
          <t>The test passes: FinancingRatingEngine refers financing above the B$150,000 high-risk limit to IIFT Sales.</t>
        </is>
      </c>
      <c r="J99" s="15" t="inlineStr">
        <is>
          <t>Unit</t>
        </is>
      </c>
      <c r="K99" s="16" t="inlineStr">
        <is>
          <t>Automated – modules/products/rating/financing.engine.spec.ts</t>
        </is>
      </c>
      <c r="L99" s="17" t="inlineStr">
        <is>
          <t>Passed</t>
        </is>
      </c>
      <c r="M99" s="16" t="inlineStr">
        <is>
          <t>api-unit-tests.json: 'FinancingRatingEngine refers financing above the B$150,000 high-risk limit to IIFT Sales' passed (2 Oct 2026 14:55 UTC); test-reruns.json: passed (2 Oct 2026 21:45 UTC)</t>
        </is>
      </c>
      <c r="N99" s="16" t="inlineStr">
        <is>
          <t>2 Oct 2026 21:45 UTC</t>
        </is>
      </c>
      <c r="O99" s="16" t="inlineStr">
        <is>
          <t>iorta QA (Vitest)</t>
        </is>
      </c>
      <c r="P99" s="16" t="inlineStr"/>
    </row>
    <row r="100">
      <c r="A100" s="15" t="inlineStr">
        <is>
          <t>CS-0099</t>
        </is>
      </c>
      <c r="B100" s="15" t="inlineStr">
        <is>
          <t>TS-15</t>
        </is>
      </c>
      <c r="C100" s="15" t="inlineStr">
        <is>
          <t>TC-055</t>
        </is>
      </c>
      <c r="D100" s="15" t="inlineStr">
        <is>
          <t>PRD</t>
        </is>
      </c>
      <c r="E100" s="16" t="inlineStr">
        <is>
          <t>Hire purchase financing above B$150,000 is referred; at the limit it is not</t>
        </is>
      </c>
      <c r="F100" s="16" t="inlineStr">
        <is>
          <t>ag-000001</t>
        </is>
      </c>
      <c r="G100" s="16" t="inlineStr">
        <is>
          <t>1. POST /api/v1/portal/policies/calculate FTP-HP financingAmount 200000
2. Repeat with 150000</t>
        </is>
      </c>
      <c r="H100" s="16" t="inlineStr">
        <is>
          <t>tenure 60 months, profit rate 4%</t>
        </is>
      </c>
      <c r="I100" s="16" t="inlineStr">
        <is>
          <t>200 with a high-risk referral reason for 200,000; 200 without referral reasons for 150,000</t>
        </is>
      </c>
      <c r="J100" s="15" t="inlineStr">
        <is>
          <t>API</t>
        </is>
      </c>
      <c r="K100" s="16" t="inlineStr">
        <is>
          <t>Executed – API run (tools/testing/api-test-run.mjs)</t>
        </is>
      </c>
      <c r="L100" s="17" t="inlineStr">
        <is>
          <t>Passed</t>
        </is>
      </c>
      <c r="M100" s="16" t="inlineStr">
        <is>
          <t>api-test-run.json EX-026: POST /api/v1/portal/policies/calculate (FTP-HP 200,000; 150,000) → 200 referral=["Financing amount B$200,000 exceeds the high-risk limit of B$150,000 – refer to IIFT Sales team"] | 200 referral=[]</t>
        </is>
      </c>
      <c r="N100" s="16" t="inlineStr">
        <is>
          <t>2 Oct 2026 22:13 UTC</t>
        </is>
      </c>
      <c r="O100" s="16" t="inlineStr">
        <is>
          <t>iorta TechNXT QA (API run)</t>
        </is>
      </c>
      <c r="P100" s="16" t="inlineStr"/>
    </row>
    <row r="101">
      <c r="A101" s="15" t="inlineStr">
        <is>
          <t>CS-0100</t>
        </is>
      </c>
      <c r="B101" s="15" t="inlineStr">
        <is>
          <t>TS-15</t>
        </is>
      </c>
      <c r="C101" s="15" t="inlineStr">
        <is>
          <t>TC-056</t>
        </is>
      </c>
      <c r="D101" s="15" t="inlineStr">
        <is>
          <t>PRD</t>
        </is>
      </c>
      <c r="E101" s="16" t="inlineStr">
        <is>
          <t>FinancingRatingEngine: lists every missing risk field at once</t>
        </is>
      </c>
      <c r="F101" s="16" t="inlineStr">
        <is>
          <t>Developer / CI</t>
        </is>
      </c>
      <c r="G101" s="16" t="inlineStr">
        <is>
          <t>1. Run `npm test -w apps/api` (Vitest)
2. Locate 'FinancingRatingEngine lists every missing risk field at once' in the run output</t>
        </is>
      </c>
      <c r="H101" s="16" t="inlineStr">
        <is>
          <t>Fixtures defined in modules/products/rating/financing.engine.spec.ts</t>
        </is>
      </c>
      <c r="I101" s="16" t="inlineStr">
        <is>
          <t>The test passes: FinancingRatingEngine lists every missing risk field at once.</t>
        </is>
      </c>
      <c r="J101" s="15" t="inlineStr">
        <is>
          <t>Unit</t>
        </is>
      </c>
      <c r="K101" s="16" t="inlineStr">
        <is>
          <t>Automated – modules/products/rating/financing.engine.spec.ts</t>
        </is>
      </c>
      <c r="L101" s="17" t="inlineStr">
        <is>
          <t>Passed</t>
        </is>
      </c>
      <c r="M101" s="16" t="inlineStr">
        <is>
          <t>api-unit-tests.json: 'FinancingRatingEngine lists every missing risk field at once' passed (2 Oct 2026 14:55 UTC); test-reruns.json: passed (2 Oct 2026 21:45 UTC)</t>
        </is>
      </c>
      <c r="N101" s="16" t="inlineStr">
        <is>
          <t>2 Oct 2026 21:45 UTC</t>
        </is>
      </c>
      <c r="O101" s="16" t="inlineStr">
        <is>
          <t>iorta QA (Vitest)</t>
        </is>
      </c>
      <c r="P101" s="16" t="inlineStr"/>
    </row>
    <row r="102">
      <c r="A102" s="15" t="inlineStr">
        <is>
          <t>CS-0101</t>
        </is>
      </c>
      <c r="B102" s="15" t="inlineStr">
        <is>
          <t>TS-15</t>
        </is>
      </c>
      <c r="C102" s="15" t="inlineStr">
        <is>
          <t>TC-056</t>
        </is>
      </c>
      <c r="D102" s="15" t="inlineStr">
        <is>
          <t>PRD</t>
        </is>
      </c>
      <c r="E102" s="16" t="inlineStr">
        <is>
          <t>FinancingRatingEngine: rejects cover that would run past the maximum age at expiry</t>
        </is>
      </c>
      <c r="F102" s="16" t="inlineStr">
        <is>
          <t>Developer / CI</t>
        </is>
      </c>
      <c r="G102" s="16" t="inlineStr">
        <is>
          <t>1. Run `npm test -w apps/api` (Vitest)
2. Locate 'FinancingRatingEngine rejects cover that would run past the maximum age at expiry' in the run output</t>
        </is>
      </c>
      <c r="H102" s="16" t="inlineStr">
        <is>
          <t>Fixtures defined in modules/products/rating/financing.engine.spec.ts</t>
        </is>
      </c>
      <c r="I102" s="16" t="inlineStr">
        <is>
          <t>The test passes: FinancingRatingEngine rejects cover that would run past the maximum age at expiry.</t>
        </is>
      </c>
      <c r="J102" s="15" t="inlineStr">
        <is>
          <t>Unit</t>
        </is>
      </c>
      <c r="K102" s="16" t="inlineStr">
        <is>
          <t>Automated – modules/products/rating/financing.engine.spec.ts</t>
        </is>
      </c>
      <c r="L102" s="17" t="inlineStr">
        <is>
          <t>Passed</t>
        </is>
      </c>
      <c r="M102" s="16" t="inlineStr">
        <is>
          <t>api-unit-tests.json: 'FinancingRatingEngine rejects cover that would run past the maximum age at expiry' passed (2 Oct 2026 14:55 UTC); test-reruns.json: passed (2 Oct 2026 21:45 UTC)</t>
        </is>
      </c>
      <c r="N102" s="16" t="inlineStr">
        <is>
          <t>2 Oct 2026 21:45 UTC</t>
        </is>
      </c>
      <c r="O102" s="16" t="inlineStr">
        <is>
          <t>iorta QA (Vitest)</t>
        </is>
      </c>
      <c r="P102" s="16" t="inlineStr"/>
    </row>
    <row r="103">
      <c r="A103" s="15" t="inlineStr">
        <is>
          <t>CS-0102</t>
        </is>
      </c>
      <c r="B103" s="15" t="inlineStr">
        <is>
          <t>TS-15</t>
        </is>
      </c>
      <c r="C103" s="15" t="inlineStr">
        <is>
          <t>TC-056</t>
        </is>
      </c>
      <c r="D103" s="15" t="inlineStr">
        <is>
          <t>PRD</t>
        </is>
      </c>
      <c r="E103" s="16" t="inlineStr">
        <is>
          <t>Cover that would run past the maximum age at expiry is refused</t>
        </is>
      </c>
      <c r="F103" s="16" t="inlineStr">
        <is>
          <t>ag-000001</t>
        </is>
      </c>
      <c r="G103" s="16" t="inlineStr">
        <is>
          <t>1. Register a 64-year-old participant
2. POST /api/v1/portal/policies/calculate FTP-HP tenure 108 months</t>
        </is>
      </c>
      <c r="H103" s="16" t="inlineStr">
        <is>
          <t>maxAgeAtExpiry 70</t>
        </is>
      </c>
      <c r="I103" s="16" t="inlineStr">
        <is>
          <t>HTTP 422 NOT_ELIGIBLE for a 64-year-old with a 108-month hire purchase (max age at expiry 70)</t>
        </is>
      </c>
      <c r="J103" s="15" t="inlineStr">
        <is>
          <t>API</t>
        </is>
      </c>
      <c r="K103" s="16" t="inlineStr">
        <is>
          <t>Executed – API run (tools/testing/api-test-run.mjs)</t>
        </is>
      </c>
      <c r="L103" s="17" t="inlineStr">
        <is>
          <t>Passed</t>
        </is>
      </c>
      <c r="M103" s="16" t="inlineStr">
        <is>
          <t>api-test-run.json EX-028: POST /api/v1/portal/policies/calculate (FTP-HP, age 64, 108 months) → 422 NOT_ELIGIBLE – The quotation does not meet the product rules [Cover must end by age 70; reduce the tenure]</t>
        </is>
      </c>
      <c r="N103" s="16" t="inlineStr">
        <is>
          <t>2 Oct 2026 22:13 UTC</t>
        </is>
      </c>
      <c r="O103" s="16" t="inlineStr">
        <is>
          <t>iorta TechNXT QA (API run)</t>
        </is>
      </c>
      <c r="P103" s="16" t="inlineStr"/>
    </row>
    <row r="104">
      <c r="A104" s="15" t="inlineStr">
        <is>
          <t>CS-0103</t>
        </is>
      </c>
      <c r="B104" s="15" t="inlineStr">
        <is>
          <t>TS-15</t>
        </is>
      </c>
      <c r="C104" s="15" t="inlineStr">
        <is>
          <t>TC-056</t>
        </is>
      </c>
      <c r="D104" s="15" t="inlineStr">
        <is>
          <t>PRD</t>
        </is>
      </c>
      <c r="E104" s="16" t="inlineStr">
        <is>
          <t>Financing quotation lists every missing risk field at once</t>
        </is>
      </c>
      <c r="F104" s="16" t="inlineStr">
        <is>
          <t>ag-000001</t>
        </is>
      </c>
      <c r="G104" s="16" t="inlineStr">
        <is>
          <t>1. POST /api/v1/portal/policies/calculate FTP-NP with riskDetails {}</t>
        </is>
      </c>
      <c r="H104" s="16" t="inlineStr">
        <is>
          <t>No risk fields</t>
        </is>
      </c>
      <c r="I104" s="16" t="inlineStr">
        <is>
          <t>HTTP 422 naming financingAmount, tenureMonths, profitRatePercent, financierName and financingReference</t>
        </is>
      </c>
      <c r="J104" s="15" t="inlineStr">
        <is>
          <t>API</t>
        </is>
      </c>
      <c r="K104" s="16" t="inlineStr">
        <is>
          <t>Executed – API run (tools/testing/api-test-run.mjs)</t>
        </is>
      </c>
      <c r="L104" s="17" t="inlineStr">
        <is>
          <t>Passed</t>
        </is>
      </c>
      <c r="M104" s="16" t="inlineStr">
        <is>
          <t>api-test-run.json EX-027: POST /api/v1/portal/policies/calculate (FTP-NP, empty risk details) → 422 NOT_ELIGIBLE – The quotation does not meet the product rules [Personal financing amount (B$) is required; Financing period (months) is required; Profit rate of financing (% p.a.) is required; Financier is required; Financing agreement / approval reference is required]</t>
        </is>
      </c>
      <c r="N104" s="16" t="inlineStr">
        <is>
          <t>2 Oct 2026 22:13 UTC</t>
        </is>
      </c>
      <c r="O104" s="16" t="inlineStr">
        <is>
          <t>iorta TechNXT QA (API run)</t>
        </is>
      </c>
      <c r="P104" s="16" t="inlineStr"/>
    </row>
    <row r="105">
      <c r="A105" s="15" t="inlineStr">
        <is>
          <t>CS-0104</t>
        </is>
      </c>
      <c r="B105" s="15" t="inlineStr">
        <is>
          <t>TS-15</t>
        </is>
      </c>
      <c r="C105" s="15" t="inlineStr">
        <is>
          <t>TC-057</t>
        </is>
      </c>
      <c r="D105" s="15" t="inlineStr">
        <is>
          <t>PRD</t>
        </is>
      </c>
      <c r="E105" s="16" t="inlineStr">
        <is>
          <t>FinancingRatingEngine: applies no profit loading when the product uses NONE as profit basis</t>
        </is>
      </c>
      <c r="F105" s="16" t="inlineStr">
        <is>
          <t>Developer / CI</t>
        </is>
      </c>
      <c r="G105" s="16" t="inlineStr">
        <is>
          <t>1. Run `npm test -w apps/api` (Vitest)
2. Locate 'FinancingRatingEngine applies no profit loading when the product uses NONE as profit basis' in the run output</t>
        </is>
      </c>
      <c r="H105" s="16" t="inlineStr">
        <is>
          <t>Fixtures defined in modules/products/rating/financing.engine.spec.ts</t>
        </is>
      </c>
      <c r="I105" s="16" t="inlineStr">
        <is>
          <t>The test passes: FinancingRatingEngine applies no profit loading when the product uses NONE as profit basis.</t>
        </is>
      </c>
      <c r="J105" s="15" t="inlineStr">
        <is>
          <t>Unit</t>
        </is>
      </c>
      <c r="K105" s="16" t="inlineStr">
        <is>
          <t>Automated – modules/products/rating/financing.engine.spec.ts</t>
        </is>
      </c>
      <c r="L105" s="17" t="inlineStr">
        <is>
          <t>Passed</t>
        </is>
      </c>
      <c r="M105" s="16" t="inlineStr">
        <is>
          <t>api-unit-tests.json: 'FinancingRatingEngine applies no profit loading when the product uses NONE as profit basis' passed (2 Oct 2026 14:55 UTC); test-reruns.json: passed (2 Oct 2026 21:45 UTC)</t>
        </is>
      </c>
      <c r="N105" s="16" t="inlineStr">
        <is>
          <t>2 Oct 2026 21:45 UTC</t>
        </is>
      </c>
      <c r="O105" s="16" t="inlineStr">
        <is>
          <t>iorta QA (Vitest)</t>
        </is>
      </c>
      <c r="P105" s="16" t="inlineStr"/>
    </row>
    <row r="106">
      <c r="A106" s="15" t="inlineStr">
        <is>
          <t>CS-0105</t>
        </is>
      </c>
      <c r="B106" s="15" t="inlineStr">
        <is>
          <t>TS-15</t>
        </is>
      </c>
      <c r="C106" s="15" t="inlineStr">
        <is>
          <t>TC-057</t>
        </is>
      </c>
      <c r="D106" s="15" t="inlineStr">
        <is>
          <t>PRD</t>
        </is>
      </c>
      <c r="E106" s="16" t="inlineStr">
        <is>
          <t>FinancingRatingEngine: validates its configuration</t>
        </is>
      </c>
      <c r="F106" s="16" t="inlineStr">
        <is>
          <t>Developer / CI</t>
        </is>
      </c>
      <c r="G106" s="16" t="inlineStr">
        <is>
          <t>1. Run `npm test -w apps/api` (Vitest)
2. Locate 'FinancingRatingEngine validates its configuration' in the run output</t>
        </is>
      </c>
      <c r="H106" s="16" t="inlineStr">
        <is>
          <t>Fixtures defined in modules/products/rating/financing.engine.spec.ts</t>
        </is>
      </c>
      <c r="I106" s="16" t="inlineStr">
        <is>
          <t>The test passes: FinancingRatingEngine validates its configuration.</t>
        </is>
      </c>
      <c r="J106" s="15" t="inlineStr">
        <is>
          <t>Unit</t>
        </is>
      </c>
      <c r="K106" s="16" t="inlineStr">
        <is>
          <t>Automated – modules/products/rating/financing.engine.spec.ts</t>
        </is>
      </c>
      <c r="L106" s="17" t="inlineStr">
        <is>
          <t>Passed</t>
        </is>
      </c>
      <c r="M106" s="16" t="inlineStr">
        <is>
          <t>api-unit-tests.json: 'FinancingRatingEngine validates its configuration' passed (2 Oct 2026 14:55 UTC); test-reruns.json: passed (2 Oct 2026 21:45 UTC)</t>
        </is>
      </c>
      <c r="N106" s="16" t="inlineStr">
        <is>
          <t>2 Oct 2026 21:45 UTC</t>
        </is>
      </c>
      <c r="O106" s="16" t="inlineStr">
        <is>
          <t>iorta QA (Vitest)</t>
        </is>
      </c>
      <c r="P106" s="16" t="inlineStr"/>
    </row>
    <row r="107">
      <c r="A107" s="15" t="inlineStr">
        <is>
          <t>CS-0106</t>
        </is>
      </c>
      <c r="B107" s="15" t="inlineStr">
        <is>
          <t>TS-15</t>
        </is>
      </c>
      <c r="C107" s="15" t="inlineStr">
        <is>
          <t>TC-057</t>
        </is>
      </c>
      <c r="D107" s="15" t="inlineStr">
        <is>
          <t>PRD</t>
        </is>
      </c>
      <c r="E107" s="16" t="inlineStr">
        <is>
          <t>Property financing with profit basis NONE</t>
        </is>
      </c>
      <c r="F107" s="16" t="inlineStr">
        <is>
          <t>Agent</t>
        </is>
      </c>
      <c r="G107" s="16" t="inlineStr">
        <is>
          <t>1. Quote PFT 200,000 over 240 months</t>
        </is>
      </c>
      <c r="H107" s="16" t="inlineStr">
        <is>
          <t>profitBasis NONE</t>
        </is>
      </c>
      <c r="I107" s="16" t="inlineStr">
        <is>
          <t>No profit loading in the sum covered</t>
        </is>
      </c>
      <c r="J107" s="15" t="inlineStr">
        <is>
          <t>API</t>
        </is>
      </c>
      <c r="K107" s="16" t="inlineStr">
        <is>
          <t>Not automated</t>
        </is>
      </c>
      <c r="L107" s="18" t="inlineStr">
        <is>
          <t>Not executed</t>
        </is>
      </c>
      <c r="M107" s="16" t="inlineStr">
        <is>
          <t>Not executed in this run; unit-tested in the financing engine</t>
        </is>
      </c>
      <c r="N107" s="16" t="inlineStr"/>
      <c r="O107" s="16" t="inlineStr"/>
      <c r="P107" s="16" t="inlineStr"/>
    </row>
    <row r="108">
      <c r="A108" s="15" t="inlineStr">
        <is>
          <t>CS-0107</t>
        </is>
      </c>
      <c r="B108" s="15" t="inlineStr">
        <is>
          <t>TS-16</t>
        </is>
      </c>
      <c r="C108" s="15" t="inlineStr">
        <is>
          <t>TC-058</t>
        </is>
      </c>
      <c r="D108" s="15" t="inlineStr">
        <is>
          <t>PRD</t>
        </is>
      </c>
      <c r="E108" s="16" t="inlineStr">
        <is>
          <t>FixedPlanRatingEngine › Overseas Student Assist eligibility (FFR05): accepts a registered Brunei citizen student</t>
        </is>
      </c>
      <c r="F108" s="16" t="inlineStr">
        <is>
          <t>Developer / CI</t>
        </is>
      </c>
      <c r="G108" s="16" t="inlineStr">
        <is>
          <t>1. Run `npm test -w apps/api` (Vitest)
2. Locate 'FixedPlanRatingEngine Overseas Student Assist eligibility (FFR05) accepts a registered Brunei citizen student' in the run output</t>
        </is>
      </c>
      <c r="H108" s="16" t="inlineStr">
        <is>
          <t>Fixtures defined in modules/products/rating/fixed-plan.engine.spec.ts</t>
        </is>
      </c>
      <c r="I108" s="16" t="inlineStr">
        <is>
          <t>The test passes: FixedPlanRatingEngine › Overseas Student Assist eligibility (FFR05) accepts a registered Brunei citizen student.</t>
        </is>
      </c>
      <c r="J108" s="15" t="inlineStr">
        <is>
          <t>Unit</t>
        </is>
      </c>
      <c r="K108" s="16" t="inlineStr">
        <is>
          <t>Automated – modules/products/rating/fixed-plan.engine.spec.ts</t>
        </is>
      </c>
      <c r="L108" s="17" t="inlineStr">
        <is>
          <t>Passed</t>
        </is>
      </c>
      <c r="M108" s="16" t="inlineStr">
        <is>
          <t>api-unit-tests.json: 'FixedPlanRatingEngine Overseas Student Assist eligibility (FFR05) accepts a registered Brunei citizen student' passed (2 Oct 2026 14:55 UTC); test-reruns.json: passed (2 Oct 2026 21:45 UTC)</t>
        </is>
      </c>
      <c r="N108" s="16" t="inlineStr">
        <is>
          <t>2 Oct 2026 21:45 UTC</t>
        </is>
      </c>
      <c r="O108" s="16" t="inlineStr">
        <is>
          <t>iorta QA (Vitest)</t>
        </is>
      </c>
      <c r="P108" s="16" t="inlineStr"/>
    </row>
    <row r="109">
      <c r="A109" s="15" t="inlineStr">
        <is>
          <t>CS-0108</t>
        </is>
      </c>
      <c r="B109" s="15" t="inlineStr">
        <is>
          <t>TS-16</t>
        </is>
      </c>
      <c r="C109" s="15" t="inlineStr">
        <is>
          <t>TC-058</t>
        </is>
      </c>
      <c r="D109" s="15" t="inlineStr">
        <is>
          <t>PRD</t>
        </is>
      </c>
      <c r="E109" s="16" t="inlineStr">
        <is>
          <t>FixedPlanRatingEngine › Overseas Student Assist eligibility (FFR05): rejects a participant who is not a Brunei citizen</t>
        </is>
      </c>
      <c r="F109" s="16" t="inlineStr">
        <is>
          <t>Developer / CI</t>
        </is>
      </c>
      <c r="G109" s="16" t="inlineStr">
        <is>
          <t>1. Run `npm test -w apps/api` (Vitest)
2. Locate 'FixedPlanRatingEngine Overseas Student Assist eligibility (FFR05) rejects a participant who is not a Brunei citizen' in the run output</t>
        </is>
      </c>
      <c r="H109" s="16" t="inlineStr">
        <is>
          <t>Fixtures defined in modules/products/rating/fixed-plan.engine.spec.ts</t>
        </is>
      </c>
      <c r="I109" s="16" t="inlineStr">
        <is>
          <t>The test passes: FixedPlanRatingEngine › Overseas Student Assist eligibility (FFR05) rejects a participant who is not a Brunei citizen.</t>
        </is>
      </c>
      <c r="J109" s="15" t="inlineStr">
        <is>
          <t>Unit</t>
        </is>
      </c>
      <c r="K109" s="16" t="inlineStr">
        <is>
          <t>Automated – modules/products/rating/fixed-plan.engine.spec.ts</t>
        </is>
      </c>
      <c r="L109" s="17" t="inlineStr">
        <is>
          <t>Passed</t>
        </is>
      </c>
      <c r="M109" s="16" t="inlineStr">
        <is>
          <t>api-unit-tests.json: 'FixedPlanRatingEngine Overseas Student Assist eligibility (FFR05) rejects a participant who is not a Brunei citizen' passed (2 Oct 2026 14:55 UTC); test-reruns.json: passed (2 Oct 2026 21:45 UTC)</t>
        </is>
      </c>
      <c r="N109" s="16" t="inlineStr">
        <is>
          <t>2 Oct 2026 21:45 UTC</t>
        </is>
      </c>
      <c r="O109" s="16" t="inlineStr">
        <is>
          <t>iorta QA (Vitest)</t>
        </is>
      </c>
      <c r="P109" s="16" t="inlineStr"/>
    </row>
    <row r="110">
      <c r="A110" s="15" t="inlineStr">
        <is>
          <t>CS-0109</t>
        </is>
      </c>
      <c r="B110" s="15" t="inlineStr">
        <is>
          <t>TS-16</t>
        </is>
      </c>
      <c r="C110" s="15" t="inlineStr">
        <is>
          <t>TC-058</t>
        </is>
      </c>
      <c r="D110" s="15" t="inlineStr">
        <is>
          <t>PRD</t>
        </is>
      </c>
      <c r="E110" s="16" t="inlineStr">
        <is>
          <t>FixedPlanRatingEngine › Overseas Student Assist eligibility (FFR05): rejects participants older than 65 next birthday</t>
        </is>
      </c>
      <c r="F110" s="16" t="inlineStr">
        <is>
          <t>Developer / CI</t>
        </is>
      </c>
      <c r="G110" s="16" t="inlineStr">
        <is>
          <t>1. Run `npm test -w apps/api` (Vitest)
2. Locate 'FixedPlanRatingEngine Overseas Student Assist eligibility (FFR05) rejects participants older than 65 next birthday' in the run output</t>
        </is>
      </c>
      <c r="H110" s="16" t="inlineStr">
        <is>
          <t>Fixtures defined in modules/products/rating/fixed-plan.engine.spec.ts</t>
        </is>
      </c>
      <c r="I110" s="16" t="inlineStr">
        <is>
          <t>The test passes: FixedPlanRatingEngine › Overseas Student Assist eligibility (FFR05) rejects participants older than 65 next birthday.</t>
        </is>
      </c>
      <c r="J110" s="15" t="inlineStr">
        <is>
          <t>Unit</t>
        </is>
      </c>
      <c r="K110" s="16" t="inlineStr">
        <is>
          <t>Automated – modules/products/rating/fixed-plan.engine.spec.ts</t>
        </is>
      </c>
      <c r="L110" s="17" t="inlineStr">
        <is>
          <t>Passed</t>
        </is>
      </c>
      <c r="M110" s="16" t="inlineStr">
        <is>
          <t>api-unit-tests.json: 'FixedPlanRatingEngine Overseas Student Assist eligibility (FFR05) rejects participants older than 65 next birthday' passed (2 Oct 2026 14:55 UTC); test-reruns.json: passed (2 Oct 2026 21:45 UTC)</t>
        </is>
      </c>
      <c r="N110" s="16" t="inlineStr">
        <is>
          <t>2 Oct 2026 21:45 UTC</t>
        </is>
      </c>
      <c r="O110" s="16" t="inlineStr">
        <is>
          <t>iorta QA (Vitest)</t>
        </is>
      </c>
      <c r="P110" s="16" t="inlineStr"/>
    </row>
    <row r="111">
      <c r="A111" s="15" t="inlineStr">
        <is>
          <t>CS-0110</t>
        </is>
      </c>
      <c r="B111" s="15" t="inlineStr">
        <is>
          <t>TS-16</t>
        </is>
      </c>
      <c r="C111" s="15" t="inlineStr">
        <is>
          <t>TC-058</t>
        </is>
      </c>
      <c r="D111" s="15" t="inlineStr">
        <is>
          <t>PRD</t>
        </is>
      </c>
      <c r="E111" s="16" t="inlineStr">
        <is>
          <t>FixedPlanRatingEngine › Overseas Student Assist eligibility (FFR05): requires confirmation of student registration</t>
        </is>
      </c>
      <c r="F111" s="16" t="inlineStr">
        <is>
          <t>Developer / CI</t>
        </is>
      </c>
      <c r="G111" s="16" t="inlineStr">
        <is>
          <t>1. Run `npm test -w apps/api` (Vitest)
2. Locate 'FixedPlanRatingEngine Overseas Student Assist eligibility (FFR05) requires confirmation of student registration' in the run output</t>
        </is>
      </c>
      <c r="H111" s="16" t="inlineStr">
        <is>
          <t>Fixtures defined in modules/products/rating/fixed-plan.engine.spec.ts</t>
        </is>
      </c>
      <c r="I111" s="16" t="inlineStr">
        <is>
          <t>The test passes: FixedPlanRatingEngine › Overseas Student Assist eligibility (FFR05) requires confirmation of student registration.</t>
        </is>
      </c>
      <c r="J111" s="15" t="inlineStr">
        <is>
          <t>Unit</t>
        </is>
      </c>
      <c r="K111" s="16" t="inlineStr">
        <is>
          <t>Automated – modules/products/rating/fixed-plan.engine.spec.ts</t>
        </is>
      </c>
      <c r="L111" s="17" t="inlineStr">
        <is>
          <t>Passed</t>
        </is>
      </c>
      <c r="M111" s="16" t="inlineStr">
        <is>
          <t>api-unit-tests.json: 'FixedPlanRatingEngine Overseas Student Assist eligibility (FFR05) requires confirmation of student registration' passed (2 Oct 2026 14:55 UTC); test-reruns.json: passed (2 Oct 2026 21:45 UTC)</t>
        </is>
      </c>
      <c r="N111" s="16" t="inlineStr">
        <is>
          <t>2 Oct 2026 21:45 UTC</t>
        </is>
      </c>
      <c r="O111" s="16" t="inlineStr">
        <is>
          <t>iorta QA (Vitest)</t>
        </is>
      </c>
      <c r="P111" s="16" t="inlineStr"/>
    </row>
    <row r="112">
      <c r="A112" s="15" t="inlineStr">
        <is>
          <t>CS-0111</t>
        </is>
      </c>
      <c r="B112" s="15" t="inlineStr">
        <is>
          <t>TS-16</t>
        </is>
      </c>
      <c r="C112" s="15" t="inlineStr">
        <is>
          <t>TC-058</t>
        </is>
      </c>
      <c r="D112" s="15" t="inlineStr">
        <is>
          <t>PRD</t>
        </is>
      </c>
      <c r="E112" s="16" t="inlineStr">
        <is>
          <t>FixedPlanRatingEngine: prices Professional Plan B with the optional additional cover (FFR03)</t>
        </is>
      </c>
      <c r="F112" s="16" t="inlineStr">
        <is>
          <t>Developer / CI</t>
        </is>
      </c>
      <c r="G112" s="16" t="inlineStr">
        <is>
          <t>1. Run `npm test -w apps/api` (Vitest)
2. Locate 'FixedPlanRatingEngine prices Professional Plan B with the optional additional cover (FFR03)' in the run output</t>
        </is>
      </c>
      <c r="H112" s="16" t="inlineStr">
        <is>
          <t>Fixtures defined in modules/products/rating/fixed-plan.engine.spec.ts</t>
        </is>
      </c>
      <c r="I112" s="16" t="inlineStr">
        <is>
          <t>The test passes: FixedPlanRatingEngine prices Professional Plan B with the optional additional cover (FFR03).</t>
        </is>
      </c>
      <c r="J112" s="15" t="inlineStr">
        <is>
          <t>Unit</t>
        </is>
      </c>
      <c r="K112" s="16" t="inlineStr">
        <is>
          <t>Automated – modules/products/rating/fixed-plan.engine.spec.ts</t>
        </is>
      </c>
      <c r="L112" s="17" t="inlineStr">
        <is>
          <t>Passed</t>
        </is>
      </c>
      <c r="M112" s="16" t="inlineStr">
        <is>
          <t>api-unit-tests.json: 'FixedPlanRatingEngine prices Professional Plan B with the optional additional cover (FFR03)' passed (2 Oct 2026 14:55 UTC); test-reruns.json: passed (2 Oct 2026 21:45 UTC)</t>
        </is>
      </c>
      <c r="N112" s="16" t="inlineStr">
        <is>
          <t>2 Oct 2026 21:45 UTC</t>
        </is>
      </c>
      <c r="O112" s="16" t="inlineStr">
        <is>
          <t>iorta QA (Vitest)</t>
        </is>
      </c>
      <c r="P112" s="16" t="inlineStr"/>
    </row>
    <row r="113">
      <c r="A113" s="15" t="inlineStr">
        <is>
          <t>CS-0112</t>
        </is>
      </c>
      <c r="B113" s="15" t="inlineStr">
        <is>
          <t>TS-16</t>
        </is>
      </c>
      <c r="C113" s="15" t="inlineStr">
        <is>
          <t>TC-058</t>
        </is>
      </c>
      <c r="D113" s="15" t="inlineStr">
        <is>
          <t>PRD</t>
        </is>
      </c>
      <c r="E113" s="16" t="inlineStr">
        <is>
          <t>Professional Plan B with additional cover is rated 135 + 120</t>
        </is>
      </c>
      <c r="F113" s="16" t="inlineStr">
        <is>
          <t>ag-000001</t>
        </is>
      </c>
      <c r="G113" s="16" t="inlineStr">
        <is>
          <t>1. POST /api/v1/portal/policies/calculate PRO plan B additionalCover=true</t>
        </is>
      </c>
      <c r="H113" s="16" t="inlineStr">
        <is>
          <t>Participant of EX-010 (class 1)</t>
        </is>
      </c>
      <c r="I113" s="16" t="inlineStr">
        <is>
          <t>contribution 255.00, sumCovered 30,000</t>
        </is>
      </c>
      <c r="J113" s="15" t="inlineStr">
        <is>
          <t>API</t>
        </is>
      </c>
      <c r="K113" s="16" t="inlineStr">
        <is>
          <t>Executed – API run (tools/testing/api-test-run.mjs)</t>
        </is>
      </c>
      <c r="L113" s="17" t="inlineStr">
        <is>
          <t>Passed</t>
        </is>
      </c>
      <c r="M113" s="16" t="inlineStr">
        <is>
          <t>api-test-run.json EX-021: POST /api/v1/portal/policies/calculate (PRO, plan B, additional cover) → 200 contribution=255 sumCovered=30000</t>
        </is>
      </c>
      <c r="N113" s="16" t="inlineStr">
        <is>
          <t>2 Oct 2026 22:13 UTC</t>
        </is>
      </c>
      <c r="O113" s="16" t="inlineStr">
        <is>
          <t>iorta TechNXT QA (API run)</t>
        </is>
      </c>
      <c r="P113" s="16" t="inlineStr"/>
    </row>
    <row r="114">
      <c r="A114" s="15" t="inlineStr">
        <is>
          <t>CS-0113</t>
        </is>
      </c>
      <c r="B114" s="15" t="inlineStr">
        <is>
          <t>TS-16</t>
        </is>
      </c>
      <c r="C114" s="15" t="inlineStr">
        <is>
          <t>TC-058</t>
        </is>
      </c>
      <c r="D114" s="15" t="inlineStr">
        <is>
          <t>PRD</t>
        </is>
      </c>
      <c r="E114" s="16" t="inlineStr">
        <is>
          <t>Journey: Professional Plan A with additional cover rated 165 (suite)</t>
        </is>
      </c>
      <c r="F114" s="16" t="inlineStr">
        <is>
          <t>ag-000002, bk-000004, ops.maker, finance, underwriter</t>
        </is>
      </c>
      <c r="G114" s="16" t="inlineStr">
        <is>
          <t>1. Run `npm run test:e2e -w apps/api` (rebuilds the iift_test database from the migrations and seeds)
2. POST /portal/policies/calculate PRO plan A additionalCover</t>
        </is>
      </c>
      <c r="H114" s="16" t="inlineStr">
        <is>
          <t>75 + 90</t>
        </is>
      </c>
      <c r="I114" s="16" t="inlineStr">
        <is>
          <t>contribution '165'</t>
        </is>
      </c>
      <c r="J114" s="15" t="inlineStr">
        <is>
          <t>E2E</t>
        </is>
      </c>
      <c r="K114" s="16" t="inlineStr">
        <is>
          <t>Automated – apps/api/test/policy-lifecycle.e2e-spec.ts › runs the full Professional Takaful Plan journey with maker-checker payment verification</t>
        </is>
      </c>
      <c r="L114" s="17" t="inlineStr">
        <is>
          <t>Passed</t>
        </is>
      </c>
      <c r="M114" s="16" t="inlineStr">
        <is>
          <t>api-e2e-tests.json: 'Quotation to e-Policy and e-Receipt (FFR03, AP-17..45, BO-16..19) runs the full Professional Takaful Plan journey with maker-checker payment verification' passed (2 Oct 2026 14:55 UTC); test-reruns.json: passed (2 Oct 2026 22:00 UTC)</t>
        </is>
      </c>
      <c r="N114" s="16" t="inlineStr">
        <is>
          <t>2 Oct 2026 22:00 UTC</t>
        </is>
      </c>
      <c r="O114" s="16" t="inlineStr">
        <is>
          <t>iorta QA (Vitest e2e, iift_test database)</t>
        </is>
      </c>
      <c r="P114" s="16" t="inlineStr"/>
    </row>
    <row r="115">
      <c r="A115" s="15" t="inlineStr">
        <is>
          <t>CS-0114</t>
        </is>
      </c>
      <c r="B115" s="15" t="inlineStr">
        <is>
          <t>TS-16</t>
        </is>
      </c>
      <c r="C115" s="15" t="inlineStr">
        <is>
          <t>TC-059</t>
        </is>
      </c>
      <c r="D115" s="15" t="inlineStr">
        <is>
          <t>PRD</t>
        </is>
      </c>
      <c r="E115" s="16" t="inlineStr">
        <is>
          <t>FixedPlanRatingEngine: accepts only Occupational Class I for the Professional plan</t>
        </is>
      </c>
      <c r="F115" s="16" t="inlineStr">
        <is>
          <t>Developer / CI</t>
        </is>
      </c>
      <c r="G115" s="16" t="inlineStr">
        <is>
          <t>1. Run `npm test -w apps/api` (Vitest)
2. Locate 'FixedPlanRatingEngine accepts only Occupational Class I for the Professional plan' in the run output</t>
        </is>
      </c>
      <c r="H115" s="16" t="inlineStr">
        <is>
          <t>Fixtures defined in modules/products/rating/fixed-plan.engine.spec.ts</t>
        </is>
      </c>
      <c r="I115" s="16" t="inlineStr">
        <is>
          <t>The test passes: FixedPlanRatingEngine accepts only Occupational Class I for the Professional plan.</t>
        </is>
      </c>
      <c r="J115" s="15" t="inlineStr">
        <is>
          <t>Unit</t>
        </is>
      </c>
      <c r="K115" s="16" t="inlineStr">
        <is>
          <t>Automated – modules/products/rating/fixed-plan.engine.spec.ts</t>
        </is>
      </c>
      <c r="L115" s="17" t="inlineStr">
        <is>
          <t>Passed</t>
        </is>
      </c>
      <c r="M115" s="16" t="inlineStr">
        <is>
          <t>api-unit-tests.json: 'FixedPlanRatingEngine accepts only Occupational Class I for the Professional plan' passed (2 Oct 2026 14:55 UTC); test-reruns.json: passed (2 Oct 2026 21:45 UTC)</t>
        </is>
      </c>
      <c r="N115" s="16" t="inlineStr">
        <is>
          <t>2 Oct 2026 21:45 UTC</t>
        </is>
      </c>
      <c r="O115" s="16" t="inlineStr">
        <is>
          <t>iorta QA (Vitest)</t>
        </is>
      </c>
      <c r="P115" s="16" t="inlineStr"/>
    </row>
    <row r="116">
      <c r="A116" s="15" t="inlineStr">
        <is>
          <t>CS-0115</t>
        </is>
      </c>
      <c r="B116" s="15" t="inlineStr">
        <is>
          <t>TS-16</t>
        </is>
      </c>
      <c r="C116" s="15" t="inlineStr">
        <is>
          <t>TC-059</t>
        </is>
      </c>
      <c r="D116" s="15" t="inlineStr">
        <is>
          <t>PRD</t>
        </is>
      </c>
      <c r="E116" s="16" t="inlineStr">
        <is>
          <t>Professional Plan accepts Occupational Class I only</t>
        </is>
      </c>
      <c r="F116" s="16" t="inlineStr">
        <is>
          <t>ag-000001</t>
        </is>
      </c>
      <c r="G116" s="16" t="inlineStr">
        <is>
          <t>1. Register a participant with occupationClass 3
2. POST /api/v1/portal/policies/calculate PRO plan A</t>
        </is>
      </c>
      <c r="H116" s="16" t="inlineStr">
        <is>
          <t>SKILLED_MANUAL, class 3</t>
        </is>
      </c>
      <c r="I116" s="16" t="inlineStr">
        <is>
          <t>HTTP 422 NOT_ELIGIBLE for a class 3 participant</t>
        </is>
      </c>
      <c r="J116" s="15" t="inlineStr">
        <is>
          <t>API</t>
        </is>
      </c>
      <c r="K116" s="16" t="inlineStr">
        <is>
          <t>Executed – API run (tools/testing/api-test-run.mjs)</t>
        </is>
      </c>
      <c r="L116" s="17" t="inlineStr">
        <is>
          <t>Passed</t>
        </is>
      </c>
      <c r="M116" s="16" t="inlineStr">
        <is>
          <t>api-test-run.json EX-025: POST /api/v1/portal/policies/calculate (PRO, occupation class 3) → 422 NOT_ELIGIBLE – The quotation does not meet the product rules [Only occupational class 1 is eligible]</t>
        </is>
      </c>
      <c r="N116" s="16" t="inlineStr">
        <is>
          <t>2 Oct 2026 22:13 UTC</t>
        </is>
      </c>
      <c r="O116" s="16" t="inlineStr">
        <is>
          <t>iorta TechNXT QA (API run)</t>
        </is>
      </c>
      <c r="P116" s="16" t="inlineStr"/>
    </row>
    <row r="117">
      <c r="A117" s="15" t="inlineStr">
        <is>
          <t>CS-0116</t>
        </is>
      </c>
      <c r="B117" s="15" t="inlineStr">
        <is>
          <t>TS-17</t>
        </is>
      </c>
      <c r="C117" s="15" t="inlineStr">
        <is>
          <t>TC-060</t>
        </is>
      </c>
      <c r="D117" s="15" t="inlineStr">
        <is>
          <t>PRD</t>
        </is>
      </c>
      <c r="E117" s="16" t="inlineStr">
        <is>
          <t>FixedPlanRatingEngine: applies the Wider (Child) loading for Khairat (FFR04)</t>
        </is>
      </c>
      <c r="F117" s="16" t="inlineStr">
        <is>
          <t>Developer / CI</t>
        </is>
      </c>
      <c r="G117" s="16" t="inlineStr">
        <is>
          <t>1. Run `npm test -w apps/api` (Vitest)
2. Locate 'FixedPlanRatingEngine applies the Wider (Child) loading for Khairat (FFR04)' in the run output</t>
        </is>
      </c>
      <c r="H117" s="16" t="inlineStr">
        <is>
          <t>Fixtures defined in modules/products/rating/fixed-plan.engine.spec.ts</t>
        </is>
      </c>
      <c r="I117" s="16" t="inlineStr">
        <is>
          <t>The test passes: FixedPlanRatingEngine applies the Wider (Child) loading for Khairat (FFR04).</t>
        </is>
      </c>
      <c r="J117" s="15" t="inlineStr">
        <is>
          <t>Unit</t>
        </is>
      </c>
      <c r="K117" s="16" t="inlineStr">
        <is>
          <t>Automated – modules/products/rating/fixed-plan.engine.spec.ts</t>
        </is>
      </c>
      <c r="L117" s="17" t="inlineStr">
        <is>
          <t>Passed</t>
        </is>
      </c>
      <c r="M117" s="16" t="inlineStr">
        <is>
          <t>api-unit-tests.json: 'FixedPlanRatingEngine applies the Wider (Child) loading for Khairat (FFR04)' passed (2 Oct 2026 14:55 UTC); test-reruns.json: passed (2 Oct 2026 21:45 UTC)</t>
        </is>
      </c>
      <c r="N117" s="16" t="inlineStr">
        <is>
          <t>2 Oct 2026 21:45 UTC</t>
        </is>
      </c>
      <c r="O117" s="16" t="inlineStr">
        <is>
          <t>iorta QA (Vitest)</t>
        </is>
      </c>
      <c r="P117" s="16" t="inlineStr"/>
    </row>
    <row r="118">
      <c r="A118" s="15" t="inlineStr">
        <is>
          <t>CS-0117</t>
        </is>
      </c>
      <c r="B118" s="15" t="inlineStr">
        <is>
          <t>TS-17</t>
        </is>
      </c>
      <c r="C118" s="15" t="inlineStr">
        <is>
          <t>TC-060</t>
        </is>
      </c>
      <c r="D118" s="15" t="inlineStr">
        <is>
          <t>PRD</t>
        </is>
      </c>
      <c r="E118" s="16" t="inlineStr">
        <is>
          <t>FixedPlanRatingEngine: requires a coverage type when the product defines them</t>
        </is>
      </c>
      <c r="F118" s="16" t="inlineStr">
        <is>
          <t>Developer / CI</t>
        </is>
      </c>
      <c r="G118" s="16" t="inlineStr">
        <is>
          <t>1. Run `npm test -w apps/api` (Vitest)
2. Locate 'FixedPlanRatingEngine requires a coverage type when the product defines them' in the run output</t>
        </is>
      </c>
      <c r="H118" s="16" t="inlineStr">
        <is>
          <t>Fixtures defined in modules/products/rating/fixed-plan.engine.spec.ts</t>
        </is>
      </c>
      <c r="I118" s="16" t="inlineStr">
        <is>
          <t>The test passes: FixedPlanRatingEngine requires a coverage type when the product defines them.</t>
        </is>
      </c>
      <c r="J118" s="15" t="inlineStr">
        <is>
          <t>Unit</t>
        </is>
      </c>
      <c r="K118" s="16" t="inlineStr">
        <is>
          <t>Automated – modules/products/rating/fixed-plan.engine.spec.ts</t>
        </is>
      </c>
      <c r="L118" s="17" t="inlineStr">
        <is>
          <t>Passed</t>
        </is>
      </c>
      <c r="M118" s="16" t="inlineStr">
        <is>
          <t>api-unit-tests.json: 'FixedPlanRatingEngine requires a coverage type when the product defines them' passed (2 Oct 2026 14:55 UTC); test-reruns.json: passed (2 Oct 2026 21:45 UTC)</t>
        </is>
      </c>
      <c r="N118" s="16" t="inlineStr">
        <is>
          <t>2 Oct 2026 21:45 UTC</t>
        </is>
      </c>
      <c r="O118" s="16" t="inlineStr">
        <is>
          <t>iorta QA (Vitest)</t>
        </is>
      </c>
      <c r="P118" s="16" t="inlineStr"/>
    </row>
    <row r="119">
      <c r="A119" s="15" t="inlineStr">
        <is>
          <t>CS-0118</t>
        </is>
      </c>
      <c r="B119" s="15" t="inlineStr">
        <is>
          <t>TS-17</t>
        </is>
      </c>
      <c r="C119" s="15" t="inlineStr">
        <is>
          <t>TC-060</t>
        </is>
      </c>
      <c r="D119" s="15" t="inlineStr">
        <is>
          <t>PRD</t>
        </is>
      </c>
      <c r="E119" s="16" t="inlineStr">
        <is>
          <t>Khairat Plan A with Wider (Child) cover applies the 1.6 loading</t>
        </is>
      </c>
      <c r="F119" s="16" t="inlineStr">
        <is>
          <t>ag-000001</t>
        </is>
      </c>
      <c r="G119" s="16" t="inlineStr">
        <is>
          <t>1. POST /api/v1/portal/policies/calculate KHR plan A coverageType WIDER</t>
        </is>
      </c>
      <c r="H119" s="16" t="inlineStr">
        <is>
          <t>Participant of EX-010</t>
        </is>
      </c>
      <c r="I119" s="16" t="inlineStr">
        <is>
          <t>contribution 64.00 (40 × 1.6)</t>
        </is>
      </c>
      <c r="J119" s="15" t="inlineStr">
        <is>
          <t>API</t>
        </is>
      </c>
      <c r="K119" s="16" t="inlineStr">
        <is>
          <t>Executed – API run (tools/testing/api-test-run.mjs)</t>
        </is>
      </c>
      <c r="L119" s="17" t="inlineStr">
        <is>
          <t>Passed</t>
        </is>
      </c>
      <c r="M119" s="16" t="inlineStr">
        <is>
          <t>api-test-run.json EX-022: POST /api/v1/portal/policies/calculate (KHR, plan A, WIDER) → 200 contribution=64</t>
        </is>
      </c>
      <c r="N119" s="16" t="inlineStr">
        <is>
          <t>2 Oct 2026 22:13 UTC</t>
        </is>
      </c>
      <c r="O119" s="16" t="inlineStr">
        <is>
          <t>iorta TechNXT QA (API run)</t>
        </is>
      </c>
      <c r="P119" s="16" t="inlineStr"/>
    </row>
    <row r="120">
      <c r="A120" s="15" t="inlineStr">
        <is>
          <t>CS-0119</t>
        </is>
      </c>
      <c r="B120" s="15" t="inlineStr">
        <is>
          <t>TS-17</t>
        </is>
      </c>
      <c r="C120" s="15" t="inlineStr">
        <is>
          <t>TC-061</t>
        </is>
      </c>
      <c r="D120" s="15" t="inlineStr">
        <is>
          <t>PRD</t>
        </is>
      </c>
      <c r="E120" s="16" t="inlineStr">
        <is>
          <t>Khairat renewal unavailable in the portal UI</t>
        </is>
      </c>
      <c r="F120" s="16" t="inlineStr">
        <is>
          <t>Agent</t>
        </is>
      </c>
      <c r="G120" s="16" t="inlineStr">
        <is>
          <t>1. Open an active Khairat policy</t>
        </is>
      </c>
      <c r="H120" s="16" t="inlineStr">
        <is>
          <t>KHR</t>
        </is>
      </c>
      <c r="I120" s="16" t="inlineStr">
        <is>
          <t>No Renew action</t>
        </is>
      </c>
      <c r="J120" s="15" t="inlineStr">
        <is>
          <t>UI</t>
        </is>
      </c>
      <c r="K120" s="16" t="inlineStr">
        <is>
          <t>Not automated</t>
        </is>
      </c>
      <c r="L120" s="18" t="inlineStr">
        <is>
          <t>Not executed</t>
        </is>
      </c>
      <c r="M120" s="16" t="inlineStr">
        <is>
          <t>Not executed – UI under restyling; API rule verified in EX-065</t>
        </is>
      </c>
      <c r="N120" s="16" t="inlineStr"/>
      <c r="O120" s="16" t="inlineStr"/>
      <c r="P120" s="16" t="inlineStr"/>
    </row>
    <row r="121">
      <c r="A121" s="15" t="inlineStr">
        <is>
          <t>CS-0120</t>
        </is>
      </c>
      <c r="B121" s="15" t="inlineStr">
        <is>
          <t>TS-18</t>
        </is>
      </c>
      <c r="C121" s="15" t="inlineStr">
        <is>
          <t>TC-062</t>
        </is>
      </c>
      <c r="D121" s="15" t="inlineStr">
        <is>
          <t>PRD</t>
        </is>
      </c>
      <c r="E121" s="16" t="inlineStr">
        <is>
          <t>FixedPlanRatingEngine: offers 1- and 2-year cover for Personal Home Assistant (FFR02)</t>
        </is>
      </c>
      <c r="F121" s="16" t="inlineStr">
        <is>
          <t>Developer / CI</t>
        </is>
      </c>
      <c r="G121" s="16" t="inlineStr">
        <is>
          <t>1. Run `npm test -w apps/api` (Vitest)
2. Locate 'FixedPlanRatingEngine offers 1- and 2-year cover for Personal Home Assistant (FFR02)' in the run output</t>
        </is>
      </c>
      <c r="H121" s="16" t="inlineStr">
        <is>
          <t>Fixtures defined in modules/products/rating/fixed-plan.engine.spec.ts</t>
        </is>
      </c>
      <c r="I121" s="16" t="inlineStr">
        <is>
          <t>The test passes: FixedPlanRatingEngine offers 1- and 2-year cover for Personal Home Assistant (FFR02).</t>
        </is>
      </c>
      <c r="J121" s="15" t="inlineStr">
        <is>
          <t>Unit</t>
        </is>
      </c>
      <c r="K121" s="16" t="inlineStr">
        <is>
          <t>Automated – modules/products/rating/fixed-plan.engine.spec.ts</t>
        </is>
      </c>
      <c r="L121" s="17" t="inlineStr">
        <is>
          <t>Passed</t>
        </is>
      </c>
      <c r="M121" s="16" t="inlineStr">
        <is>
          <t>api-unit-tests.json: 'FixedPlanRatingEngine offers 1- and 2-year cover for Personal Home Assistant (FFR02)' passed (2 Oct 2026 14:55 UTC); test-reruns.json: passed (2 Oct 2026 21:45 UTC)</t>
        </is>
      </c>
      <c r="N121" s="16" t="inlineStr">
        <is>
          <t>2 Oct 2026 21:45 UTC</t>
        </is>
      </c>
      <c r="O121" s="16" t="inlineStr">
        <is>
          <t>iorta QA (Vitest)</t>
        </is>
      </c>
      <c r="P121" s="16" t="inlineStr"/>
    </row>
    <row r="122">
      <c r="A122" s="15" t="inlineStr">
        <is>
          <t>CS-0121</t>
        </is>
      </c>
      <c r="B122" s="15" t="inlineStr">
        <is>
          <t>TS-18</t>
        </is>
      </c>
      <c r="C122" s="15" t="inlineStr">
        <is>
          <t>TC-062</t>
        </is>
      </c>
      <c r="D122" s="15" t="inlineStr">
        <is>
          <t>PRD</t>
        </is>
      </c>
      <c r="E122" s="16" t="inlineStr">
        <is>
          <t>Personal Home Assistant two-year cover</t>
        </is>
      </c>
      <c r="F122" s="16" t="inlineStr">
        <is>
          <t>ag-000001</t>
        </is>
      </c>
      <c r="G122" s="16" t="inlineStr">
        <is>
          <t>1. POST /api/v1/portal/policies/calculate PHA plan STANDARD termMonths 24 with helper details</t>
        </is>
      </c>
      <c r="H122" s="16" t="inlineStr">
        <is>
          <t>Helper Maria Santos, passport P8827361A</t>
        </is>
      </c>
      <c r="I122" s="16" t="inlineStr">
        <is>
          <t>contribution 220.00 for 24 months</t>
        </is>
      </c>
      <c r="J122" s="15" t="inlineStr">
        <is>
          <t>API</t>
        </is>
      </c>
      <c r="K122" s="16" t="inlineStr">
        <is>
          <t>Executed – API run (tools/testing/api-test-run.mjs)</t>
        </is>
      </c>
      <c r="L122" s="17" t="inlineStr">
        <is>
          <t>Passed</t>
        </is>
      </c>
      <c r="M122" s="16" t="inlineStr">
        <is>
          <t xml:space="preserve">api-test-run.json EX-023: POST /api/v1/portal/policies/calculate (PHA, 24 months) → 200 contribution=220 </t>
        </is>
      </c>
      <c r="N122" s="16" t="inlineStr">
        <is>
          <t>2 Oct 2026 22:13 UTC</t>
        </is>
      </c>
      <c r="O122" s="16" t="inlineStr">
        <is>
          <t>iorta TechNXT QA (API run)</t>
        </is>
      </c>
      <c r="P122" s="16" t="inlineStr"/>
    </row>
    <row r="123">
      <c r="A123" s="15" t="inlineStr">
        <is>
          <t>CS-0122</t>
        </is>
      </c>
      <c r="B123" s="15" t="inlineStr">
        <is>
          <t>TS-19</t>
        </is>
      </c>
      <c r="C123" s="15" t="inlineStr">
        <is>
          <t>TC-063</t>
        </is>
      </c>
      <c r="D123" s="15" t="inlineStr">
        <is>
          <t>PRD</t>
        </is>
      </c>
      <c r="E123" s="16" t="inlineStr">
        <is>
          <t>Overseas Student Tertiary plan</t>
        </is>
      </c>
      <c r="F123" s="16" t="inlineStr">
        <is>
          <t>Agent</t>
        </is>
      </c>
      <c r="G123" s="16" t="inlineStr">
        <is>
          <t>1. Quote OSA TERTIARY for an eligible Brunei student</t>
        </is>
      </c>
      <c r="H123" s="16" t="inlineStr">
        <is>
          <t>Tertiary 50,000</t>
        </is>
      </c>
      <c r="I123" s="16" t="inlineStr">
        <is>
          <t>contribution 380</t>
        </is>
      </c>
      <c r="J123" s="15" t="inlineStr">
        <is>
          <t>API</t>
        </is>
      </c>
      <c r="K123" s="16" t="inlineStr">
        <is>
          <t>Not automated</t>
        </is>
      </c>
      <c r="L123" s="18" t="inlineStr">
        <is>
          <t>Not executed</t>
        </is>
      </c>
      <c r="M123" s="16" t="inlineStr">
        <is>
          <t>Not executed in this run; unit-tested in the fixed-plan engine</t>
        </is>
      </c>
      <c r="N123" s="16" t="inlineStr"/>
      <c r="O123" s="16" t="inlineStr"/>
      <c r="P123" s="16" t="inlineStr"/>
    </row>
    <row r="124">
      <c r="A124" s="15" t="inlineStr">
        <is>
          <t>CS-0123</t>
        </is>
      </c>
      <c r="B124" s="15" t="inlineStr">
        <is>
          <t>TS-19</t>
        </is>
      </c>
      <c r="C124" s="15" t="inlineStr">
        <is>
          <t>TC-064</t>
        </is>
      </c>
      <c r="D124" s="15" t="inlineStr">
        <is>
          <t>PRD</t>
        </is>
      </c>
      <c r="E124" s="16" t="inlineStr">
        <is>
          <t>Overseas Student Assist refuses a participant who is not a Brunei citizen</t>
        </is>
      </c>
      <c r="F124" s="16" t="inlineStr">
        <is>
          <t>ag-000001</t>
        </is>
      </c>
      <c r="G124" s="16" t="inlineStr">
        <is>
          <t>1. Register a Malaysian passport holder
2. POST /api/v1/portal/policies/calculate OSA plan BASIC</t>
        </is>
      </c>
      <c r="H124" s="16" t="inlineStr">
        <is>
          <t>nationality MALAYSIA, registered student</t>
        </is>
      </c>
      <c r="I124" s="16" t="inlineStr">
        <is>
          <t>HTTP 422 NOT_ELIGIBLE</t>
        </is>
      </c>
      <c r="J124" s="15" t="inlineStr">
        <is>
          <t>API</t>
        </is>
      </c>
      <c r="K124" s="16" t="inlineStr">
        <is>
          <t>Executed – API run (tools/testing/api-test-run.mjs)</t>
        </is>
      </c>
      <c r="L124" s="17" t="inlineStr">
        <is>
          <t>Passed</t>
        </is>
      </c>
      <c r="M124" s="16" t="inlineStr">
        <is>
          <t>api-test-run.json EX-024: POST /api/v1/portal/policies/calculate (OSA, Malaysian participant) → 422 NOT_ELIGIBLE – The quotation does not meet the product rules [Only brunei nationals are eligible]</t>
        </is>
      </c>
      <c r="N124" s="16" t="inlineStr">
        <is>
          <t>2 Oct 2026 22:13 UTC</t>
        </is>
      </c>
      <c r="O124" s="16" t="inlineStr">
        <is>
          <t>iorta TechNXT QA (API run)</t>
        </is>
      </c>
      <c r="P124" s="16" t="inlineStr"/>
    </row>
    <row r="125">
      <c r="A125" s="15" t="inlineStr">
        <is>
          <t>CS-0124</t>
        </is>
      </c>
      <c r="B125" s="15" t="inlineStr">
        <is>
          <t>TS-20</t>
        </is>
      </c>
      <c r="C125" s="15" t="inlineStr">
        <is>
          <t>TC-065</t>
        </is>
      </c>
      <c r="D125" s="15" t="inlineStr">
        <is>
          <t>PRD</t>
        </is>
      </c>
      <c r="E125" s="16" t="inlineStr">
        <is>
          <t>FixedPlanRatingEngine: validates every catalogue product configuration</t>
        </is>
      </c>
      <c r="F125" s="16" t="inlineStr">
        <is>
          <t>Developer / CI</t>
        </is>
      </c>
      <c r="G125" s="16" t="inlineStr">
        <is>
          <t>1. Run `npm test -w apps/api` (Vitest)
2. Locate 'FixedPlanRatingEngine validates every catalogue product configuration' in the run output</t>
        </is>
      </c>
      <c r="H125" s="16" t="inlineStr">
        <is>
          <t>Fixtures defined in modules/products/rating/fixed-plan.engine.spec.ts</t>
        </is>
      </c>
      <c r="I125" s="16" t="inlineStr">
        <is>
          <t>The test passes: FixedPlanRatingEngine validates every catalogue product configuration.</t>
        </is>
      </c>
      <c r="J125" s="15" t="inlineStr">
        <is>
          <t>Unit</t>
        </is>
      </c>
      <c r="K125" s="16" t="inlineStr">
        <is>
          <t>Automated – modules/products/rating/fixed-plan.engine.spec.ts</t>
        </is>
      </c>
      <c r="L125" s="17" t="inlineStr">
        <is>
          <t>Passed</t>
        </is>
      </c>
      <c r="M125" s="16" t="inlineStr">
        <is>
          <t>api-unit-tests.json: 'FixedPlanRatingEngine validates every catalogue product configuration' passed (2 Oct 2026 14:55 UTC); test-reruns.json: passed (2 Oct 2026 21:45 UTC)</t>
        </is>
      </c>
      <c r="N125" s="16" t="inlineStr">
        <is>
          <t>2 Oct 2026 21:45 UTC</t>
        </is>
      </c>
      <c r="O125" s="16" t="inlineStr">
        <is>
          <t>iorta QA (Vitest)</t>
        </is>
      </c>
      <c r="P125" s="16" t="inlineStr"/>
    </row>
    <row r="126">
      <c r="A126" s="15" t="inlineStr">
        <is>
          <t>CS-0125</t>
        </is>
      </c>
      <c r="B126" s="15" t="inlineStr">
        <is>
          <t>TS-20</t>
        </is>
      </c>
      <c r="C126" s="15" t="inlineStr">
        <is>
          <t>TC-065</t>
        </is>
      </c>
      <c r="D126" s="15" t="inlineStr">
        <is>
          <t>PRD</t>
        </is>
      </c>
      <c r="E126" s="16" t="inlineStr">
        <is>
          <t>Product catalogue lists the seven IIFT products with their rules</t>
        </is>
      </c>
      <c r="F126" s="16" t="inlineStr">
        <is>
          <t>ag-000001</t>
        </is>
      </c>
      <c r="G126" s="16" t="inlineStr">
        <is>
          <t>1. GET /api/v1/common/products
2. Check codes and the paymentBeforeIssuance / allowRenewal flags</t>
        </is>
      </c>
      <c r="H126" s="16" t="inlineStr">
        <is>
          <t>Seeded catalogue</t>
        </is>
      </c>
      <c r="I126" s="16" t="inlineStr">
        <is>
          <t>HTTP 200 with FTP-HP, FTP-NP, PFT, PHA, PRO, KHR, OSA; KHR has allowRenewal=false; PRO/KHR/OSA/PHA pay before issuance</t>
        </is>
      </c>
      <c r="J126" s="15" t="inlineStr">
        <is>
          <t>API</t>
        </is>
      </c>
      <c r="K126" s="16" t="inlineStr">
        <is>
          <t>Executed – API run (tools/testing/api-test-run.mjs)</t>
        </is>
      </c>
      <c r="L126" s="17" t="inlineStr">
        <is>
          <t>Passed</t>
        </is>
      </c>
      <c r="M126" s="16" t="inlineStr">
        <is>
          <t>api-test-run.json EX-020: GET /api/v1/common/products → FTP-HP,FTP-NP,KHR,OSA,PFT,PHA,PRO; KHR.allowRenewal=false; PRO.paymentBeforeIssuance=true</t>
        </is>
      </c>
      <c r="N126" s="16" t="inlineStr">
        <is>
          <t>2 Oct 2026 22:13 UTC</t>
        </is>
      </c>
      <c r="O126" s="16" t="inlineStr">
        <is>
          <t>iorta TechNXT QA (API run)</t>
        </is>
      </c>
      <c r="P126" s="16" t="inlineStr"/>
    </row>
    <row r="127">
      <c r="A127" s="15" t="inlineStr">
        <is>
          <t>CS-0126</t>
        </is>
      </c>
      <c r="B127" s="15" t="inlineStr">
        <is>
          <t>TS-20</t>
        </is>
      </c>
      <c r="C127" s="15" t="inlineStr">
        <is>
          <t>TC-065</t>
        </is>
      </c>
      <c r="D127" s="15" t="inlineStr">
        <is>
          <t>PRD</t>
        </is>
      </c>
      <c r="E127" s="16" t="inlineStr">
        <is>
          <t>Product configuration is maintainable without code changes</t>
        </is>
      </c>
      <c r="F127" s="16" t="inlineStr">
        <is>
          <t>manager</t>
        </is>
      </c>
      <c r="G127" s="16" t="inlineStr">
        <is>
          <t>1. GET /api/v1/backoffice/products
2. PUT products/{KHR} with plans []
3. PUT with the unchanged configuration</t>
        </is>
      </c>
      <c r="H127" s="16" t="inlineStr">
        <is>
          <t>Khairat product</t>
        </is>
      </c>
      <c r="I127" s="16" t="inlineStr">
        <is>
          <t>GET /backoffice/products → 7; PUT with an invalid rate table → 422 INVALID_PRODUCT_CONFIG; PUT with the unchanged configuration → 200</t>
        </is>
      </c>
      <c r="J127" s="15" t="inlineStr">
        <is>
          <t>API</t>
        </is>
      </c>
      <c r="K127" s="16" t="inlineStr">
        <is>
          <t>Executed – API run (tools/testing/api-test-run.mjs)</t>
        </is>
      </c>
      <c r="L127" s="17" t="inlineStr">
        <is>
          <t>Passed</t>
        </is>
      </c>
      <c r="M127" s="16" t="inlineStr">
        <is>
          <t>api-test-run.json EX-117: GET /api/v1/backoffice/products; PUT products/cad06114-b5a9-48c7-ba8c-0d25df5c15a4 (plans=[]; unchanged) → 7 products | 422 INVALID_PRODUCT_CONFIG – config.plans must be a non-empty array | 200</t>
        </is>
      </c>
      <c r="N127" s="16" t="inlineStr">
        <is>
          <t>2 Oct 2026 22:13 UTC</t>
        </is>
      </c>
      <c r="O127" s="16" t="inlineStr">
        <is>
          <t>iorta TechNXT QA (API run)</t>
        </is>
      </c>
      <c r="P127" s="16" t="inlineStr"/>
    </row>
    <row r="128">
      <c r="A128" s="15" t="inlineStr">
        <is>
          <t>CS-0127</t>
        </is>
      </c>
      <c r="B128" s="15" t="inlineStr">
        <is>
          <t>TS-20</t>
        </is>
      </c>
      <c r="C128" s="15" t="inlineStr">
        <is>
          <t>TC-065</t>
        </is>
      </c>
      <c r="D128" s="15" t="inlineStr">
        <is>
          <t>PRD</t>
        </is>
      </c>
      <c r="E128" s="16" t="inlineStr">
        <is>
          <t>Product configuration validation</t>
        </is>
      </c>
      <c r="F128" s="16" t="inlineStr">
        <is>
          <t>manager</t>
        </is>
      </c>
      <c r="G128" s="16" t="inlineStr">
        <is>
          <t>1. Products → open a product
2. Save an invalid configuration
3. Save valid</t>
        </is>
      </c>
      <c r="H128" s="16" t="inlineStr">
        <is>
          <t>Khairat</t>
        </is>
      </c>
      <c r="I128" s="16" t="inlineStr">
        <is>
          <t>Validation error and server error shown without stack trace; valid save confirmed</t>
        </is>
      </c>
      <c r="J128" s="15" t="inlineStr">
        <is>
          <t>UI</t>
        </is>
      </c>
      <c r="K128" s="16" t="inlineStr">
        <is>
          <t>Manual (exploratory)</t>
        </is>
      </c>
      <c r="L128" s="17" t="inlineStr">
        <is>
          <t>Passed</t>
        </is>
      </c>
      <c r="M128" s="16" t="inlineStr">
        <is>
          <t>Screens: b-flow-product-invalid.png, b-flow-product-server-error.png, b-bo-products.png (evidence/ui-screens)</t>
        </is>
      </c>
      <c r="N128" s="16" t="inlineStr">
        <is>
          <t>2 Oct 2026</t>
        </is>
      </c>
      <c r="O128" s="16" t="inlineStr">
        <is>
          <t>iorta QA (manual, exploratory)</t>
        </is>
      </c>
      <c r="P128" s="16" t="inlineStr"/>
    </row>
    <row r="129">
      <c r="A129" s="15" t="inlineStr">
        <is>
          <t>CS-0128</t>
        </is>
      </c>
      <c r="B129" s="15" t="inlineStr">
        <is>
          <t>TS-20</t>
        </is>
      </c>
      <c r="C129" s="15" t="inlineStr">
        <is>
          <t>TC-066</t>
        </is>
      </c>
      <c r="D129" s="15" t="inlineStr">
        <is>
          <t>PRD</t>
        </is>
      </c>
      <c r="E129" s="16" t="inlineStr">
        <is>
          <t>FixedPlanRatingEngine: drops risk details that the product does not define</t>
        </is>
      </c>
      <c r="F129" s="16" t="inlineStr">
        <is>
          <t>Developer / CI</t>
        </is>
      </c>
      <c r="G129" s="16" t="inlineStr">
        <is>
          <t>1. Run `npm test -w apps/api` (Vitest)
2. Locate 'FixedPlanRatingEngine drops risk details that the product does not define' in the run output</t>
        </is>
      </c>
      <c r="H129" s="16" t="inlineStr">
        <is>
          <t>Fixtures defined in modules/products/rating/fixed-plan.engine.spec.ts</t>
        </is>
      </c>
      <c r="I129" s="16" t="inlineStr">
        <is>
          <t>The test passes: FixedPlanRatingEngine drops risk details that the product does not define.</t>
        </is>
      </c>
      <c r="J129" s="15" t="inlineStr">
        <is>
          <t>Unit</t>
        </is>
      </c>
      <c r="K129" s="16" t="inlineStr">
        <is>
          <t>Automated – modules/products/rating/fixed-plan.engine.spec.ts</t>
        </is>
      </c>
      <c r="L129" s="17" t="inlineStr">
        <is>
          <t>Passed</t>
        </is>
      </c>
      <c r="M129" s="16" t="inlineStr">
        <is>
          <t>api-unit-tests.json: 'FixedPlanRatingEngine drops risk details that the product does not define' passed (2 Oct 2026 14:55 UTC); test-reruns.json: passed (2 Oct 2026 21:45 UTC)</t>
        </is>
      </c>
      <c r="N129" s="16" t="inlineStr">
        <is>
          <t>2 Oct 2026 21:45 UTC</t>
        </is>
      </c>
      <c r="O129" s="16" t="inlineStr">
        <is>
          <t>iorta QA (Vitest)</t>
        </is>
      </c>
      <c r="P129" s="16" t="inlineStr"/>
    </row>
    <row r="130">
      <c r="A130" s="15" t="inlineStr">
        <is>
          <t>CS-0129</t>
        </is>
      </c>
      <c r="B130" s="15" t="inlineStr">
        <is>
          <t>TS-20</t>
        </is>
      </c>
      <c r="C130" s="15" t="inlineStr">
        <is>
          <t>TC-066</t>
        </is>
      </c>
      <c r="D130" s="15" t="inlineStr">
        <is>
          <t>PRD</t>
        </is>
      </c>
      <c r="E130" s="16" t="inlineStr">
        <is>
          <t>describePlan: falls back to the code for a retired plan</t>
        </is>
      </c>
      <c r="F130" s="16" t="inlineStr">
        <is>
          <t>Developer / CI</t>
        </is>
      </c>
      <c r="G130" s="16" t="inlineStr">
        <is>
          <t>1. Run `npm test -w apps/api` (Vitest)
2. Locate 'describePlan falls back to the code for a retired plan' in the run output</t>
        </is>
      </c>
      <c r="H130" s="16" t="inlineStr">
        <is>
          <t>Fixtures defined in modules/products/plan-label.spec.ts</t>
        </is>
      </c>
      <c r="I130" s="16" t="inlineStr">
        <is>
          <t>The test passes: describePlan falls back to the code for a retired plan.</t>
        </is>
      </c>
      <c r="J130" s="15" t="inlineStr">
        <is>
          <t>Unit</t>
        </is>
      </c>
      <c r="K130" s="16" t="inlineStr">
        <is>
          <t>Automated – modules/products/plan-label.spec.ts</t>
        </is>
      </c>
      <c r="L130" s="17" t="inlineStr">
        <is>
          <t>Passed</t>
        </is>
      </c>
      <c r="M130" s="16" t="inlineStr">
        <is>
          <t>api-unit-tests.json: 'describePlan falls back to the code for a retired plan' passed (2 Oct 2026 14:55 UTC); test-reruns.json: passed (2 Oct 2026 21:45 UTC)</t>
        </is>
      </c>
      <c r="N130" s="16" t="inlineStr">
        <is>
          <t>2 Oct 2026 21:45 UTC</t>
        </is>
      </c>
      <c r="O130" s="16" t="inlineStr">
        <is>
          <t>iorta QA (Vitest)</t>
        </is>
      </c>
      <c r="P130" s="16" t="inlineStr"/>
    </row>
    <row r="131">
      <c r="A131" s="15" t="inlineStr">
        <is>
          <t>CS-0130</t>
        </is>
      </c>
      <c r="B131" s="15" t="inlineStr">
        <is>
          <t>TS-20</t>
        </is>
      </c>
      <c r="C131" s="15" t="inlineStr">
        <is>
          <t>TC-066</t>
        </is>
      </c>
      <c r="D131" s="15" t="inlineStr">
        <is>
          <t>PRD</t>
        </is>
      </c>
      <c r="E131" s="16" t="inlineStr">
        <is>
          <t>describePlan: returns null when the product has no plans</t>
        </is>
      </c>
      <c r="F131" s="16" t="inlineStr">
        <is>
          <t>Developer / CI</t>
        </is>
      </c>
      <c r="G131" s="16" t="inlineStr">
        <is>
          <t>1. Run `npm test -w apps/api` (Vitest)
2. Locate 'describePlan returns null when the product has no plans' in the run output</t>
        </is>
      </c>
      <c r="H131" s="16" t="inlineStr">
        <is>
          <t>Fixtures defined in modules/products/plan-label.spec.ts</t>
        </is>
      </c>
      <c r="I131" s="16" t="inlineStr">
        <is>
          <t>The test passes: describePlan returns null when the product has no plans.</t>
        </is>
      </c>
      <c r="J131" s="15" t="inlineStr">
        <is>
          <t>Unit</t>
        </is>
      </c>
      <c r="K131" s="16" t="inlineStr">
        <is>
          <t>Automated – modules/products/plan-label.spec.ts</t>
        </is>
      </c>
      <c r="L131" s="17" t="inlineStr">
        <is>
          <t>Passed</t>
        </is>
      </c>
      <c r="M131" s="16" t="inlineStr">
        <is>
          <t>api-unit-tests.json: 'describePlan returns null when the product has no plans' passed (2 Oct 2026 14:55 UTC); test-reruns.json: passed (2 Oct 2026 21:45 UTC)</t>
        </is>
      </c>
      <c r="N131" s="16" t="inlineStr">
        <is>
          <t>2 Oct 2026 21:45 UTC</t>
        </is>
      </c>
      <c r="O131" s="16" t="inlineStr">
        <is>
          <t>iorta QA (Vitest)</t>
        </is>
      </c>
      <c r="P131" s="16" t="inlineStr"/>
    </row>
    <row r="132">
      <c r="A132" s="15" t="inlineStr">
        <is>
          <t>CS-0131</t>
        </is>
      </c>
      <c r="B132" s="15" t="inlineStr">
        <is>
          <t>TS-20</t>
        </is>
      </c>
      <c r="C132" s="15" t="inlineStr">
        <is>
          <t>TC-066</t>
        </is>
      </c>
      <c r="D132" s="15" t="inlineStr">
        <is>
          <t>PRD</t>
        </is>
      </c>
      <c r="E132" s="16" t="inlineStr">
        <is>
          <t>describePlan: uses the configured names</t>
        </is>
      </c>
      <c r="F132" s="16" t="inlineStr">
        <is>
          <t>Developer / CI</t>
        </is>
      </c>
      <c r="G132" s="16" t="inlineStr">
        <is>
          <t>1. Run `npm test -w apps/api` (Vitest)
2. Locate 'describePlan uses the configured names' in the run output</t>
        </is>
      </c>
      <c r="H132" s="16" t="inlineStr">
        <is>
          <t>Fixtures defined in modules/products/plan-label.spec.ts</t>
        </is>
      </c>
      <c r="I132" s="16" t="inlineStr">
        <is>
          <t>The test passes: describePlan uses the configured names.</t>
        </is>
      </c>
      <c r="J132" s="15" t="inlineStr">
        <is>
          <t>Unit</t>
        </is>
      </c>
      <c r="K132" s="16" t="inlineStr">
        <is>
          <t>Automated – modules/products/plan-label.spec.ts</t>
        </is>
      </c>
      <c r="L132" s="17" t="inlineStr">
        <is>
          <t>Passed</t>
        </is>
      </c>
      <c r="M132" s="16" t="inlineStr">
        <is>
          <t>api-unit-tests.json: 'describePlan uses the configured names' passed (2 Oct 2026 14:55 UTC); test-reruns.json: passed (2 Oct 2026 21:45 UTC)</t>
        </is>
      </c>
      <c r="N132" s="16" t="inlineStr">
        <is>
          <t>2 Oct 2026 21:45 UTC</t>
        </is>
      </c>
      <c r="O132" s="16" t="inlineStr">
        <is>
          <t>iorta QA (Vitest)</t>
        </is>
      </c>
      <c r="P132" s="16" t="inlineStr"/>
    </row>
    <row r="133">
      <c r="A133" s="15" t="inlineStr">
        <is>
          <t>CS-0132</t>
        </is>
      </c>
      <c r="B133" s="15" t="inlineStr">
        <is>
          <t>TS-21</t>
        </is>
      </c>
      <c r="C133" s="15" t="inlineStr">
        <is>
          <t>TC-067</t>
        </is>
      </c>
      <c r="D133" s="15" t="inlineStr">
        <is>
          <t>QUO</t>
        </is>
      </c>
      <c r="E133" s="16" t="inlineStr">
        <is>
          <t>Create a quotation and save it as draft</t>
        </is>
      </c>
      <c r="F133" s="16" t="inlineStr">
        <is>
          <t>ag-000001</t>
        </is>
      </c>
      <c r="G133" s="16" t="inlineStr">
        <is>
          <t>1. POST /api/v1/portal/policies PRO plan B additionalCover=true</t>
        </is>
      </c>
      <c r="H133" s="16" t="inlineStr">
        <is>
          <t>Participant of EX-010</t>
        </is>
      </c>
      <c r="I133" s="16" t="inlineStr">
        <is>
          <t>HTTP 201; status DRAFT; quotationNo QT/yy/nnnnnn; contribution 255</t>
        </is>
      </c>
      <c r="J133" s="15" t="inlineStr">
        <is>
          <t>API</t>
        </is>
      </c>
      <c r="K133" s="16" t="inlineStr">
        <is>
          <t>Executed – API run (tools/testing/api-test-run.mjs)</t>
        </is>
      </c>
      <c r="L133" s="17" t="inlineStr">
        <is>
          <t>Passed</t>
        </is>
      </c>
      <c r="M133" s="16" t="inlineStr">
        <is>
          <t>api-test-run.json EX-030: POST /api/v1/portal/policies (PRO plan B + additional cover) → 201 QT/26/000076 DRAFT contribution=255</t>
        </is>
      </c>
      <c r="N133" s="16" t="inlineStr">
        <is>
          <t>2 Oct 2026 22:13 UTC</t>
        </is>
      </c>
      <c r="O133" s="16" t="inlineStr">
        <is>
          <t>iorta TechNXT QA (API run)</t>
        </is>
      </c>
      <c r="P133" s="16" t="inlineStr"/>
    </row>
    <row r="134">
      <c r="A134" s="15" t="inlineStr">
        <is>
          <t>CS-0133</t>
        </is>
      </c>
      <c r="B134" s="15" t="inlineStr">
        <is>
          <t>TS-21</t>
        </is>
      </c>
      <c r="C134" s="15" t="inlineStr">
        <is>
          <t>TC-067</t>
        </is>
      </c>
      <c r="D134" s="15" t="inlineStr">
        <is>
          <t>QUO</t>
        </is>
      </c>
      <c r="E134" s="16" t="inlineStr">
        <is>
          <t>Journey: quotation created in DRAFT (suite)</t>
        </is>
      </c>
      <c r="F134" s="16" t="inlineStr">
        <is>
          <t>ag-000002, bk-000004, ops.maker, finance, underwriter</t>
        </is>
      </c>
      <c r="G134" s="16" t="inlineStr">
        <is>
          <t>1. Run `npm run test:e2e -w apps/api` (rebuilds the iift_test database from the migrations and seeds)
2. POST /portal/policies</t>
        </is>
      </c>
      <c r="H134" s="16" t="inlineStr">
        <is>
          <t>PRO plan A</t>
        </is>
      </c>
      <c r="I134" s="16" t="inlineStr">
        <is>
          <t>201 DRAFT</t>
        </is>
      </c>
      <c r="J134" s="15" t="inlineStr">
        <is>
          <t>E2E</t>
        </is>
      </c>
      <c r="K134" s="16" t="inlineStr">
        <is>
          <t>Automated – apps/api/test/policy-lifecycle.e2e-spec.ts › runs the full Professional Takaful Plan journey with maker-checker payment verification</t>
        </is>
      </c>
      <c r="L134" s="17" t="inlineStr">
        <is>
          <t>Passed</t>
        </is>
      </c>
      <c r="M134" s="16" t="inlineStr">
        <is>
          <t>api-e2e-tests.json: 'Quotation to e-Policy and e-Receipt (FFR03, AP-17..45, BO-16..19) runs the full Professional Takaful Plan journey with maker-checker payment verification' passed (2 Oct 2026 14:55 UTC); test-reruns.json: passed (2 Oct 2026 22:00 UTC)</t>
        </is>
      </c>
      <c r="N134" s="16" t="inlineStr">
        <is>
          <t>2 Oct 2026 22:00 UTC</t>
        </is>
      </c>
      <c r="O134" s="16" t="inlineStr">
        <is>
          <t>iorta QA (Vitest e2e, iift_test database)</t>
        </is>
      </c>
      <c r="P134" s="16" t="inlineStr"/>
    </row>
    <row r="135">
      <c r="A135" s="15" t="inlineStr">
        <is>
          <t>CS-0134</t>
        </is>
      </c>
      <c r="B135" s="15" t="inlineStr">
        <is>
          <t>TS-21</t>
        </is>
      </c>
      <c r="C135" s="15" t="inlineStr">
        <is>
          <t>TC-068</t>
        </is>
      </c>
      <c r="D135" s="15" t="inlineStr">
        <is>
          <t>QUO</t>
        </is>
      </c>
      <c r="E135" s="16" t="inlineStr">
        <is>
          <t>Draft quotation can be discarded; discarding an issued policy is refused</t>
        </is>
      </c>
      <c r="F135" s="16" t="inlineStr">
        <is>
          <t>ag-000001</t>
        </is>
      </c>
      <c r="G135" s="16" t="inlineStr">
        <is>
          <t>1. POST /api/v1/portal/policies (new PRO draft)
2. POST /api/v1/portal/policies/{draft}/discard
3. POST /api/v1/portal/policies/{issued}/discard</t>
        </is>
      </c>
      <c r="H135" s="16" t="inlineStr">
        <is>
          <t>Draft and issued policy</t>
        </is>
      </c>
      <c r="I135" s="16" t="inlineStr">
        <is>
          <t>POST discard on a new draft → 204; on the issued policy → 422 CANNOT_DISCARD</t>
        </is>
      </c>
      <c r="J135" s="15" t="inlineStr">
        <is>
          <t>API</t>
        </is>
      </c>
      <c r="K135" s="16" t="inlineStr">
        <is>
          <t>Executed – API run (tools/testing/api-test-run.mjs)</t>
        </is>
      </c>
      <c r="L135" s="17" t="inlineStr">
        <is>
          <t>Passed</t>
        </is>
      </c>
      <c r="M135" s="16" t="inlineStr">
        <is>
          <t>api-test-run.json EX-049: POST /api/v1/portal/policies/{draft}/discard; /{issued}/discard → 204 | 422 CANNOT_DISCARD – Only unpaid quotations that have not been issued can be discarded</t>
        </is>
      </c>
      <c r="N135" s="16" t="inlineStr">
        <is>
          <t>2 Oct 2026 22:13 UTC</t>
        </is>
      </c>
      <c r="O135" s="16" t="inlineStr">
        <is>
          <t>iorta TechNXT QA (API run)</t>
        </is>
      </c>
      <c r="P135" s="16" t="inlineStr"/>
    </row>
    <row r="136">
      <c r="A136" s="15" t="inlineStr">
        <is>
          <t>CS-0135</t>
        </is>
      </c>
      <c r="B136" s="15" t="inlineStr">
        <is>
          <t>TS-21</t>
        </is>
      </c>
      <c r="C136" s="15" t="inlineStr">
        <is>
          <t>TC-068</t>
        </is>
      </c>
      <c r="D136" s="15" t="inlineStr">
        <is>
          <t>QUO</t>
        </is>
      </c>
      <c r="E136" s="16" t="inlineStr">
        <is>
          <t>Issued policy is invisible to another agency and cannot be changed</t>
        </is>
      </c>
      <c r="F136" s="16" t="inlineStr">
        <is>
          <t>ag-000003, ag-000001</t>
        </is>
      </c>
      <c r="G136" s="16" t="inlineStr">
        <is>
          <t>1. As ag-000003 GET /api/v1/portal/policies/{id}
2. As ag-000001 PUT /api/v1/portal/policies/{id}/questionnaire</t>
        </is>
      </c>
      <c r="H136" s="16" t="inlineStr">
        <is>
          <t>Issued policy of EX-043</t>
        </is>
      </c>
      <c r="I136" s="16" t="inlineStr">
        <is>
          <t>GET by another agency → 404; PUT questionnaire on an issued policy → 422 NOT_DRAFT</t>
        </is>
      </c>
      <c r="J136" s="15" t="inlineStr">
        <is>
          <t>API</t>
        </is>
      </c>
      <c r="K136" s="16" t="inlineStr">
        <is>
          <t>Executed – API run (tools/testing/api-test-run.mjs)</t>
        </is>
      </c>
      <c r="L136" s="17" t="inlineStr">
        <is>
          <t>Passed</t>
        </is>
      </c>
      <c r="M136" s="16" t="inlineStr">
        <is>
          <t>api-test-run.json EX-047: GET /api/v1/portal/policies/f16fde6b-2488-470c-a7fd-a0d20332c6bb (ag-000003); PUT questionnaire (ag-000001) → 404 NOT_FOUND – Policy not found | 422 NOT_DRAFT – Only draft quotations can be changed</t>
        </is>
      </c>
      <c r="N136" s="16" t="inlineStr">
        <is>
          <t>2 Oct 2026 22:13 UTC</t>
        </is>
      </c>
      <c r="O136" s="16" t="inlineStr">
        <is>
          <t>iorta TechNXT QA (API run)</t>
        </is>
      </c>
      <c r="P136" s="16" t="inlineStr"/>
    </row>
    <row r="137">
      <c r="A137" s="15" t="inlineStr">
        <is>
          <t>CS-0136</t>
        </is>
      </c>
      <c r="B137" s="15" t="inlineStr">
        <is>
          <t>TS-21</t>
        </is>
      </c>
      <c r="C137" s="15" t="inlineStr">
        <is>
          <t>TC-069</t>
        </is>
      </c>
      <c r="D137" s="15" t="inlineStr">
        <is>
          <t>QUO</t>
        </is>
      </c>
      <c r="E137" s="16" t="inlineStr">
        <is>
          <t>Expired quotation cannot be submitted</t>
        </is>
      </c>
      <c r="F137" s="16" t="inlineStr">
        <is>
          <t>Agent</t>
        </is>
      </c>
      <c r="G137" s="16" t="inlineStr">
        <is>
          <t>1. Backdate a draft's createdAt by 31 days
2. Submit</t>
        </is>
      </c>
      <c r="H137" s="16" t="inlineStr">
        <is>
          <t>policy.quotation_validity_days = 30</t>
        </is>
      </c>
      <c r="I137" s="16" t="inlineStr">
        <is>
          <t>422 QUOTATION_EXPIRED</t>
        </is>
      </c>
      <c r="J137" s="15" t="inlineStr">
        <is>
          <t>API</t>
        </is>
      </c>
      <c r="K137" s="16" t="inlineStr">
        <is>
          <t>Not automated</t>
        </is>
      </c>
      <c r="L137" s="18" t="inlineStr">
        <is>
          <t>Not executed</t>
        </is>
      </c>
      <c r="M137" s="16" t="inlineStr">
        <is>
          <t>Not executed – needs a backdated record; scheduled for SIT regression</t>
        </is>
      </c>
      <c r="N137" s="16" t="inlineStr"/>
      <c r="O137" s="16" t="inlineStr"/>
      <c r="P137" s="16" t="inlineStr"/>
    </row>
    <row r="138">
      <c r="A138" s="15" t="inlineStr">
        <is>
          <t>CS-0137</t>
        </is>
      </c>
      <c r="B138" s="15" t="inlineStr">
        <is>
          <t>TS-21</t>
        </is>
      </c>
      <c r="C138" s="15" t="inlineStr">
        <is>
          <t>TC-070</t>
        </is>
      </c>
      <c r="D138" s="15" t="inlineStr">
        <is>
          <t>QUO</t>
        </is>
      </c>
      <c r="E138" s="16" t="inlineStr">
        <is>
          <t>Quotation wizard for a financing product</t>
        </is>
      </c>
      <c r="F138" s="16" t="inlineStr">
        <is>
          <t>bk-000005</t>
        </is>
      </c>
      <c r="G138" s="16" t="inlineStr">
        <is>
          <t>1. New quotation
2. Select Financing Takaful – Hire Purchase
3. Select participant
4. Enter financing details</t>
        </is>
      </c>
      <c r="H138" s="16" t="inlineStr">
        <is>
          <t>Amount, tenure, profit rate</t>
        </is>
      </c>
      <c r="I138" s="16" t="inlineStr">
        <is>
          <t>Financing fields shown; contribution calculated</t>
        </is>
      </c>
      <c r="J138" s="15" t="inlineStr">
        <is>
          <t>UI</t>
        </is>
      </c>
      <c r="K138" s="16" t="inlineStr">
        <is>
          <t>Manual (exploratory)</t>
        </is>
      </c>
      <c r="L138" s="17" t="inlineStr">
        <is>
          <t>Passed</t>
        </is>
      </c>
      <c r="M138" s="16" t="inlineStr">
        <is>
          <t>Screens: ui-wizard-fin-1-product.png, ui-wizard-fin-2-participant.png, ui-wizard-fin-3-coverage.png (evidence/ui-screens)</t>
        </is>
      </c>
      <c r="N138" s="16" t="inlineStr">
        <is>
          <t>2 Oct 2026</t>
        </is>
      </c>
      <c r="O138" s="16" t="inlineStr">
        <is>
          <t>iorta QA (manual, exploratory)</t>
        </is>
      </c>
      <c r="P138" s="16" t="inlineStr"/>
    </row>
    <row r="139">
      <c r="A139" s="15" t="inlineStr">
        <is>
          <t>CS-0138</t>
        </is>
      </c>
      <c r="B139" s="15" t="inlineStr">
        <is>
          <t>TS-21</t>
        </is>
      </c>
      <c r="C139" s="15" t="inlineStr">
        <is>
          <t>TC-070</t>
        </is>
      </c>
      <c r="D139" s="15" t="inlineStr">
        <is>
          <t>QUO</t>
        </is>
      </c>
      <c r="E139" s="16" t="inlineStr">
        <is>
          <t>Quotation wizard for a fixed-plan product</t>
        </is>
      </c>
      <c r="F139" s="16" t="inlineStr">
        <is>
          <t>ag-000001</t>
        </is>
      </c>
      <c r="G139" s="16" t="inlineStr">
        <is>
          <t>1. New quotation
2. Select product
3. Select participant
4. Choose cover
5. Review and save</t>
        </is>
      </c>
      <c r="H139" s="16" t="inlineStr">
        <is>
          <t>Professional Takaful Plan</t>
        </is>
      </c>
      <c r="I139" s="16" t="inlineStr">
        <is>
          <t>Four steps complete; draft saved with quotation number</t>
        </is>
      </c>
      <c r="J139" s="15" t="inlineStr">
        <is>
          <t>UI</t>
        </is>
      </c>
      <c r="K139" s="16" t="inlineStr">
        <is>
          <t>Manual (exploratory)</t>
        </is>
      </c>
      <c r="L139" s="17" t="inlineStr">
        <is>
          <t>Passed</t>
        </is>
      </c>
      <c r="M139" s="16" t="inlineStr">
        <is>
          <t>Screens: ui-wizard-1-product.png, ui-wizard-2-participant.png, ui-wizard-3-coverage.png, ui-wizard-4-review.png, a-wizard-saved.png (evidence/ui-screens)</t>
        </is>
      </c>
      <c r="N139" s="16" t="inlineStr">
        <is>
          <t>2 Oct 2026</t>
        </is>
      </c>
      <c r="O139" s="16" t="inlineStr">
        <is>
          <t>iorta QA (manual, exploratory)</t>
        </is>
      </c>
      <c r="P139" s="16" t="inlineStr"/>
    </row>
    <row r="140">
      <c r="A140" s="15" t="inlineStr">
        <is>
          <t>CS-0139</t>
        </is>
      </c>
      <c r="B140" s="15" t="inlineStr">
        <is>
          <t>TS-22</t>
        </is>
      </c>
      <c r="C140" s="15" t="inlineStr">
        <is>
          <t>TC-071</t>
        </is>
      </c>
      <c r="D140" s="15" t="inlineStr">
        <is>
          <t>QUO</t>
        </is>
      </c>
      <c r="E140" s="16" t="inlineStr">
        <is>
          <t>product definitions: rejects answers to questions the product does not ask</t>
        </is>
      </c>
      <c r="F140" s="16" t="inlineStr">
        <is>
          <t>Developer / CI</t>
        </is>
      </c>
      <c r="G140" s="16" t="inlineStr">
        <is>
          <t>1. Run `npm test -w apps/api` (Vitest)
2. Locate 'product definitions rejects answers to questions the product does not ask' in the run output</t>
        </is>
      </c>
      <c r="H140" s="16" t="inlineStr">
        <is>
          <t>Fixtures defined in modules/products/product-definitions.spec.ts</t>
        </is>
      </c>
      <c r="I140" s="16" t="inlineStr">
        <is>
          <t>The test passes: product definitions rejects answers to questions the product does not ask.</t>
        </is>
      </c>
      <c r="J140" s="15" t="inlineStr">
        <is>
          <t>Unit</t>
        </is>
      </c>
      <c r="K140" s="16" t="inlineStr">
        <is>
          <t>Automated – modules/products/product-definitions.spec.ts</t>
        </is>
      </c>
      <c r="L140" s="17" t="inlineStr">
        <is>
          <t>Passed</t>
        </is>
      </c>
      <c r="M140" s="16" t="inlineStr">
        <is>
          <t>api-unit-tests.json: 'product definitions rejects answers to questions the product does not ask' passed (2 Oct 2026 14:55 UTC); test-reruns.json: passed (2 Oct 2026 21:45 UTC)</t>
        </is>
      </c>
      <c r="N140" s="16" t="inlineStr">
        <is>
          <t>2 Oct 2026 21:45 UTC</t>
        </is>
      </c>
      <c r="O140" s="16" t="inlineStr">
        <is>
          <t>iorta QA (Vitest)</t>
        </is>
      </c>
      <c r="P140" s="16" t="inlineStr"/>
    </row>
    <row r="141">
      <c r="A141" s="15" t="inlineStr">
        <is>
          <t>CS-0140</t>
        </is>
      </c>
      <c r="B141" s="15" t="inlineStr">
        <is>
          <t>TS-22</t>
        </is>
      </c>
      <c r="C141" s="15" t="inlineStr">
        <is>
          <t>TC-071</t>
        </is>
      </c>
      <c r="D141" s="15" t="inlineStr">
        <is>
          <t>QUO</t>
        </is>
      </c>
      <c r="E141" s="16" t="inlineStr">
        <is>
          <t>product definitions: requires every question to be answered and details for "yes"</t>
        </is>
      </c>
      <c r="F141" s="16" t="inlineStr">
        <is>
          <t>Developer / CI</t>
        </is>
      </c>
      <c r="G141" s="16" t="inlineStr">
        <is>
          <t>1. Run `npm test -w apps/api` (Vitest)
2. Locate 'product definitions requires every question to be answered and details for "yes"' in the run output</t>
        </is>
      </c>
      <c r="H141" s="16" t="inlineStr">
        <is>
          <t>Fixtures defined in modules/products/product-definitions.spec.ts</t>
        </is>
      </c>
      <c r="I141" s="16" t="inlineStr">
        <is>
          <t>The test passes: product definitions requires every question to be answered and details for "yes".</t>
        </is>
      </c>
      <c r="J141" s="15" t="inlineStr">
        <is>
          <t>Unit</t>
        </is>
      </c>
      <c r="K141" s="16" t="inlineStr">
        <is>
          <t>Automated – modules/products/product-definitions.spec.ts</t>
        </is>
      </c>
      <c r="L141" s="17" t="inlineStr">
        <is>
          <t>Passed</t>
        </is>
      </c>
      <c r="M141" s="16" t="inlineStr">
        <is>
          <t>api-unit-tests.json: 'product definitions requires every question to be answered and details for "yes"' passed (2 Oct 2026 14:55 UTC); test-reruns.json: passed (2 Oct 2026 21:45 UTC)</t>
        </is>
      </c>
      <c r="N141" s="16" t="inlineStr">
        <is>
          <t>2 Oct 2026 21:45 UTC</t>
        </is>
      </c>
      <c r="O141" s="16" t="inlineStr">
        <is>
          <t>iorta QA (Vitest)</t>
        </is>
      </c>
      <c r="P141" s="16" t="inlineStr"/>
    </row>
    <row r="142">
      <c r="A142" s="15" t="inlineStr">
        <is>
          <t>CS-0141</t>
        </is>
      </c>
      <c r="B142" s="15" t="inlineStr">
        <is>
          <t>TS-22</t>
        </is>
      </c>
      <c r="C142" s="15" t="inlineStr">
        <is>
          <t>TC-071</t>
        </is>
      </c>
      <c r="D142" s="15" t="inlineStr">
        <is>
          <t>QUO</t>
        </is>
      </c>
      <c r="E142" s="16" t="inlineStr">
        <is>
          <t>product definitions: returns referral reasons for "yes" answers that require underwriting</t>
        </is>
      </c>
      <c r="F142" s="16" t="inlineStr">
        <is>
          <t>Developer / CI</t>
        </is>
      </c>
      <c r="G142" s="16" t="inlineStr">
        <is>
          <t>1. Run `npm test -w apps/api` (Vitest)
2. Locate 'product definitions returns referral reasons for "yes" answers that require underwriting' in the run output</t>
        </is>
      </c>
      <c r="H142" s="16" t="inlineStr">
        <is>
          <t>Fixtures defined in modules/products/product-definitions.spec.ts</t>
        </is>
      </c>
      <c r="I142" s="16" t="inlineStr">
        <is>
          <t>The test passes: product definitions returns referral reasons for "yes" answers that require underwriting.</t>
        </is>
      </c>
      <c r="J142" s="15" t="inlineStr">
        <is>
          <t>Unit</t>
        </is>
      </c>
      <c r="K142" s="16" t="inlineStr">
        <is>
          <t>Automated – modules/products/product-definitions.spec.ts</t>
        </is>
      </c>
      <c r="L142" s="17" t="inlineStr">
        <is>
          <t>Passed</t>
        </is>
      </c>
      <c r="M142" s="16" t="inlineStr">
        <is>
          <t>api-unit-tests.json: 'product definitions returns referral reasons for "yes" answers that require underwriting' passed (2 Oct 2026 14:55 UTC); test-reruns.json: passed (2 Oct 2026 21:45 UTC)</t>
        </is>
      </c>
      <c r="N142" s="16" t="inlineStr">
        <is>
          <t>2 Oct 2026 21:45 UTC</t>
        </is>
      </c>
      <c r="O142" s="16" t="inlineStr">
        <is>
          <t>iorta QA (Vitest)</t>
        </is>
      </c>
      <c r="P142" s="16" t="inlineStr"/>
    </row>
    <row r="143">
      <c r="A143" s="15" t="inlineStr">
        <is>
          <t>CS-0142</t>
        </is>
      </c>
      <c r="B143" s="15" t="inlineStr">
        <is>
          <t>TS-22</t>
        </is>
      </c>
      <c r="C143" s="15" t="inlineStr">
        <is>
          <t>TC-071</t>
        </is>
      </c>
      <c r="D143" s="15" t="inlineStr">
        <is>
          <t>QUO</t>
        </is>
      </c>
      <c r="E143" s="16" t="inlineStr">
        <is>
          <t>A "yes" declaration requires details</t>
        </is>
      </c>
      <c r="F143" s="16" t="inlineStr">
        <is>
          <t>ag-000001</t>
        </is>
      </c>
      <c r="G143" s="16" t="inlineStr">
        <is>
          <t>1. PUT /api/v1/portal/policies/{id}/questionnaire with HEALTH_CURRENT=yes and no details</t>
        </is>
      </c>
      <c r="H143" s="16" t="inlineStr">
        <is>
          <t>Draft of EX-030</t>
        </is>
      </c>
      <c r="I143" s="16" t="inlineStr">
        <is>
          <t>HTTP 422 QUESTIONNAIRE_INCOMPLETE asking for details</t>
        </is>
      </c>
      <c r="J143" s="15" t="inlineStr">
        <is>
          <t>API</t>
        </is>
      </c>
      <c r="K143" s="16" t="inlineStr">
        <is>
          <t>Executed – API run (tools/testing/api-test-run.mjs)</t>
        </is>
      </c>
      <c r="L143" s="17" t="inlineStr">
        <is>
          <t>Passed</t>
        </is>
      </c>
      <c r="M143" s="16" t="inlineStr">
        <is>
          <t>api-test-run.json EX-032: PUT /api/v1/portal/policies/f16fde6b-2488-470c-a7fd-a0d20332c6bb/questionnaire (yes without details) → 422 QUESTIONNAIRE_INCOMPLETE – The questionnaire is incomplete [Please give details for: Are you currently suffering from any illness or medical condition, or receiving medical treatment?]</t>
        </is>
      </c>
      <c r="N143" s="16" t="inlineStr">
        <is>
          <t>2 Oct 2026 22:13 UTC</t>
        </is>
      </c>
      <c r="O143" s="16" t="inlineStr">
        <is>
          <t>iorta TechNXT QA (API run)</t>
        </is>
      </c>
      <c r="P143" s="16" t="inlineStr"/>
    </row>
    <row r="144">
      <c r="A144" s="15" t="inlineStr">
        <is>
          <t>CS-0143</t>
        </is>
      </c>
      <c r="B144" s="15" t="inlineStr">
        <is>
          <t>TS-22</t>
        </is>
      </c>
      <c r="C144" s="15" t="inlineStr">
        <is>
          <t>TC-071</t>
        </is>
      </c>
      <c r="D144" s="15" t="inlineStr">
        <is>
          <t>QUO</t>
        </is>
      </c>
      <c r="E144" s="16" t="inlineStr">
        <is>
          <t>Completed questionnaire is saved</t>
        </is>
      </c>
      <c r="F144" s="16" t="inlineStr">
        <is>
          <t>ag-000001</t>
        </is>
      </c>
      <c r="G144" s="16" t="inlineStr">
        <is>
          <t>1. PUT /api/v1/portal/policies/{id}/questionnaire with all three answers 'no'</t>
        </is>
      </c>
      <c r="H144" s="16" t="inlineStr">
        <is>
          <t>Draft of EX-030</t>
        </is>
      </c>
      <c r="I144" s="16" t="inlineStr">
        <is>
          <t>HTTP 200</t>
        </is>
      </c>
      <c r="J144" s="15" t="inlineStr">
        <is>
          <t>API</t>
        </is>
      </c>
      <c r="K144" s="16" t="inlineStr">
        <is>
          <t>Executed – API run (tools/testing/api-test-run.mjs)</t>
        </is>
      </c>
      <c r="L144" s="17" t="inlineStr">
        <is>
          <t>Passed</t>
        </is>
      </c>
      <c r="M144" s="16" t="inlineStr">
        <is>
          <t>api-test-run.json EX-033: PUT /api/v1/portal/policies/f16fde6b-2488-470c-a7fd-a0d20332c6bb/questionnaire (all no) → 200 DRAFT</t>
        </is>
      </c>
      <c r="N144" s="16" t="inlineStr">
        <is>
          <t>2 Oct 2026 22:13 UTC</t>
        </is>
      </c>
      <c r="O144" s="16" t="inlineStr">
        <is>
          <t>iorta TechNXT QA (API run)</t>
        </is>
      </c>
      <c r="P144" s="16" t="inlineStr"/>
    </row>
    <row r="145">
      <c r="A145" s="15" t="inlineStr">
        <is>
          <t>CS-0144</t>
        </is>
      </c>
      <c r="B145" s="15" t="inlineStr">
        <is>
          <t>TS-22</t>
        </is>
      </c>
      <c r="C145" s="15" t="inlineStr">
        <is>
          <t>TC-071</t>
        </is>
      </c>
      <c r="D145" s="15" t="inlineStr">
        <is>
          <t>QUO</t>
        </is>
      </c>
      <c r="E145" s="16" t="inlineStr">
        <is>
          <t>Submission is blocked while the questionnaire is incomplete</t>
        </is>
      </c>
      <c r="F145" s="16" t="inlineStr">
        <is>
          <t>ag-000001</t>
        </is>
      </c>
      <c r="G145" s="16" t="inlineStr">
        <is>
          <t>1. POST /api/v1/portal/policies/{id}/submit before answering the questionnaire</t>
        </is>
      </c>
      <c r="H145" s="16" t="inlineStr">
        <is>
          <t>Draft of EX-030</t>
        </is>
      </c>
      <c r="I145" s="16" t="inlineStr">
        <is>
          <t>HTTP 422 QUESTIONNAIRE_INCOMPLETE</t>
        </is>
      </c>
      <c r="J145" s="15" t="inlineStr">
        <is>
          <t>API</t>
        </is>
      </c>
      <c r="K145" s="16" t="inlineStr">
        <is>
          <t>Executed – API run (tools/testing/api-test-run.mjs)</t>
        </is>
      </c>
      <c r="L145" s="17" t="inlineStr">
        <is>
          <t>Passed</t>
        </is>
      </c>
      <c r="M145" s="16" t="inlineStr">
        <is>
          <t>api-test-run.json EX-031: POST /api/v1/portal/policies/f16fde6b-2488-470c-a7fd-a0d20332c6bb/submit → 422 QUESTIONNAIRE_INCOMPLETE – The questionnaire is incomplete [Please answer: Are you currently suffering from any illness or medical condition, or receiving medical treatment?; Please answer: In the past 5 years, have you been hospitalised or advised to undergo surgery?; Please answer: Has any tak</t>
        </is>
      </c>
      <c r="N145" s="16" t="inlineStr">
        <is>
          <t>2 Oct 2026 22:13 UTC</t>
        </is>
      </c>
      <c r="O145" s="16" t="inlineStr">
        <is>
          <t>iorta TechNXT QA (API run)</t>
        </is>
      </c>
      <c r="P145" s="16" t="inlineStr"/>
    </row>
    <row r="146">
      <c r="A146" s="15" t="inlineStr">
        <is>
          <t>CS-0145</t>
        </is>
      </c>
      <c r="B146" s="15" t="inlineStr">
        <is>
          <t>TS-22</t>
        </is>
      </c>
      <c r="C146" s="15" t="inlineStr">
        <is>
          <t>TC-071</t>
        </is>
      </c>
      <c r="D146" s="15" t="inlineStr">
        <is>
          <t>QUO</t>
        </is>
      </c>
      <c r="E146" s="16" t="inlineStr">
        <is>
          <t>Journey: questionnaire gate (suite)</t>
        </is>
      </c>
      <c r="F146" s="16" t="inlineStr">
        <is>
          <t>ag-000002, bk-000004, ops.maker, finance, underwriter</t>
        </is>
      </c>
      <c r="G146" s="16" t="inlineStr">
        <is>
          <t>1. Run `npm run test:e2e -w apps/api` (rebuilds the iift_test database from the migrations and seeds)
2. Submit before the questionnaire; answer all 'no'</t>
        </is>
      </c>
      <c r="H146" s="16" t="inlineStr">
        <is>
          <t>3 declarations</t>
        </is>
      </c>
      <c r="I146" s="16" t="inlineStr">
        <is>
          <t>422 QUESTIONNAIRE_INCOMPLETE; then 200</t>
        </is>
      </c>
      <c r="J146" s="15" t="inlineStr">
        <is>
          <t>E2E</t>
        </is>
      </c>
      <c r="K146" s="16" t="inlineStr">
        <is>
          <t>Automated – apps/api/test/policy-lifecycle.e2e-spec.ts › runs the full Professional Takaful Plan journey with maker-checker payment verification</t>
        </is>
      </c>
      <c r="L146" s="17" t="inlineStr">
        <is>
          <t>Passed</t>
        </is>
      </c>
      <c r="M146" s="16" t="inlineStr">
        <is>
          <t>api-e2e-tests.json: 'Quotation to e-Policy and e-Receipt (FFR03, AP-17..45, BO-16..19) runs the full Professional Takaful Plan journey with maker-checker payment verification' passed (2 Oct 2026 14:55 UTC); test-reruns.json: passed (2 Oct 2026 22:00 UTC)</t>
        </is>
      </c>
      <c r="N146" s="16" t="inlineStr">
        <is>
          <t>2 Oct 2026 22:00 UTC</t>
        </is>
      </c>
      <c r="O146" s="16" t="inlineStr">
        <is>
          <t>iorta QA (Vitest e2e, iift_test database)</t>
        </is>
      </c>
      <c r="P146" s="16" t="inlineStr"/>
    </row>
    <row r="147">
      <c r="A147" s="15" t="inlineStr">
        <is>
          <t>CS-0146</t>
        </is>
      </c>
      <c r="B147" s="15" t="inlineStr">
        <is>
          <t>TS-22</t>
        </is>
      </c>
      <c r="C147" s="15" t="inlineStr">
        <is>
          <t>TC-072</t>
        </is>
      </c>
      <c r="D147" s="15" t="inlineStr">
        <is>
          <t>QUO</t>
        </is>
      </c>
      <c r="E147" s="16" t="inlineStr">
        <is>
          <t>Nominee shares must total 100%</t>
        </is>
      </c>
      <c r="F147" s="16" t="inlineStr">
        <is>
          <t>ag-000001</t>
        </is>
      </c>
      <c r="G147" s="16" t="inlineStr">
        <is>
          <t>1. PUT /api/v1/portal/policies/{id}/nominees with one nominee at 60%
2. PUT with one nominee at 100% and an ID number</t>
        </is>
      </c>
      <c r="H147" s="16" t="inlineStr">
        <is>
          <t>Kamal bin Ali, PARENT</t>
        </is>
      </c>
      <c r="I147" s="16" t="inlineStr">
        <is>
          <t>HTTP 422 INVALID_SHARES for 60%; 200 for 100%</t>
        </is>
      </c>
      <c r="J147" s="15" t="inlineStr">
        <is>
          <t>API</t>
        </is>
      </c>
      <c r="K147" s="16" t="inlineStr">
        <is>
          <t>Executed – API run (tools/testing/api-test-run.mjs)</t>
        </is>
      </c>
      <c r="L147" s="17" t="inlineStr">
        <is>
          <t>Passed</t>
        </is>
      </c>
      <c r="M147" s="16" t="inlineStr">
        <is>
          <t>api-test-run.json EX-034: PUT /api/v1/portal/policies/f16fde6b-2488-470c-a7fd-a0d20332c6bb/nominees (60%; 100%) → 422 INVALID_SHARES – Nominee shares must add up to 100% (currently 60.00%) | 200</t>
        </is>
      </c>
      <c r="N147" s="16" t="inlineStr">
        <is>
          <t>2 Oct 2026 22:13 UTC</t>
        </is>
      </c>
      <c r="O147" s="16" t="inlineStr">
        <is>
          <t>iorta TechNXT QA (API run)</t>
        </is>
      </c>
      <c r="P147" s="16" t="inlineStr"/>
    </row>
    <row r="148">
      <c r="A148" s="15" t="inlineStr">
        <is>
          <t>CS-0147</t>
        </is>
      </c>
      <c r="B148" s="15" t="inlineStr">
        <is>
          <t>TS-22</t>
        </is>
      </c>
      <c r="C148" s="15" t="inlineStr">
        <is>
          <t>TC-072</t>
        </is>
      </c>
      <c r="D148" s="15" t="inlineStr">
        <is>
          <t>QUO</t>
        </is>
      </c>
      <c r="E148" s="16" t="inlineStr">
        <is>
          <t>Journey: nominee shares and encrypted nominee ID retained (suite)</t>
        </is>
      </c>
      <c r="F148" s="16" t="inlineStr">
        <is>
          <t>ag-000002, bk-000004, ops.maker, finance, underwriter</t>
        </is>
      </c>
      <c r="G148" s="16" t="inlineStr">
        <is>
          <t>1. Run `npm run test:e2e -w apps/api` (rebuilds the iift_test database from the migrations and seeds)
2. PUT nominees 60%; 100% with ID; re-save with id and no ID number</t>
        </is>
      </c>
      <c r="H148" s="16" t="inlineStr">
        <is>
          <t>Kamal bin Ali</t>
        </is>
      </c>
      <c r="I148" s="16" t="inlineStr">
        <is>
          <t>422 INVALID_SHARES; 200; stored idNumberEnc unchanged</t>
        </is>
      </c>
      <c r="J148" s="15" t="inlineStr">
        <is>
          <t>E2E</t>
        </is>
      </c>
      <c r="K148" s="16" t="inlineStr">
        <is>
          <t>Automated – apps/api/test/policy-lifecycle.e2e-spec.ts › runs the full Professional Takaful Plan journey with maker-checker payment verification</t>
        </is>
      </c>
      <c r="L148" s="17" t="inlineStr">
        <is>
          <t>Passed</t>
        </is>
      </c>
      <c r="M148" s="16" t="inlineStr">
        <is>
          <t>api-e2e-tests.json: 'Quotation to e-Policy and e-Receipt (FFR03, AP-17..45, BO-16..19) runs the full Professional Takaful Plan journey with maker-checker payment verification' passed (2 Oct 2026 14:55 UTC); test-reruns.json: passed (2 Oct 2026 22:00 UTC)</t>
        </is>
      </c>
      <c r="N148" s="16" t="inlineStr">
        <is>
          <t>2 Oct 2026 22:00 UTC</t>
        </is>
      </c>
      <c r="O148" s="16" t="inlineStr">
        <is>
          <t>iorta QA (Vitest e2e, iift_test database)</t>
        </is>
      </c>
      <c r="P148" s="16" t="inlineStr"/>
    </row>
    <row r="149">
      <c r="A149" s="15" t="inlineStr">
        <is>
          <t>CS-0148</t>
        </is>
      </c>
      <c r="B149" s="15" t="inlineStr">
        <is>
          <t>TS-22</t>
        </is>
      </c>
      <c r="C149" s="15" t="inlineStr">
        <is>
          <t>TC-073</t>
        </is>
      </c>
      <c r="D149" s="15" t="inlineStr">
        <is>
          <t>QUO</t>
        </is>
      </c>
      <c r="E149" s="16" t="inlineStr">
        <is>
          <t>product definitions: treats documents as mandatory unless stated otherwise</t>
        </is>
      </c>
      <c r="F149" s="16" t="inlineStr">
        <is>
          <t>Developer / CI</t>
        </is>
      </c>
      <c r="G149" s="16" t="inlineStr">
        <is>
          <t>1. Run `npm test -w apps/api` (Vitest)
2. Locate 'product definitions treats documents as mandatory unless stated otherwise' in the run output</t>
        </is>
      </c>
      <c r="H149" s="16" t="inlineStr">
        <is>
          <t>Fixtures defined in modules/products/product-definitions.spec.ts</t>
        </is>
      </c>
      <c r="I149" s="16" t="inlineStr">
        <is>
          <t>The test passes: product definitions treats documents as mandatory unless stated otherwise.</t>
        </is>
      </c>
      <c r="J149" s="15" t="inlineStr">
        <is>
          <t>Unit</t>
        </is>
      </c>
      <c r="K149" s="16" t="inlineStr">
        <is>
          <t>Automated – modules/products/product-definitions.spec.ts</t>
        </is>
      </c>
      <c r="L149" s="17" t="inlineStr">
        <is>
          <t>Passed</t>
        </is>
      </c>
      <c r="M149" s="16" t="inlineStr">
        <is>
          <t>api-unit-tests.json: 'product definitions treats documents as mandatory unless stated otherwise' passed (2 Oct 2026 14:55 UTC); test-reruns.json: passed (2 Oct 2026 21:45 UTC)</t>
        </is>
      </c>
      <c r="N149" s="16" t="inlineStr">
        <is>
          <t>2 Oct 2026 21:45 UTC</t>
        </is>
      </c>
      <c r="O149" s="16" t="inlineStr">
        <is>
          <t>iorta QA (Vitest)</t>
        </is>
      </c>
      <c r="P149" s="16" t="inlineStr"/>
    </row>
    <row r="150">
      <c r="A150" s="15" t="inlineStr">
        <is>
          <t>CS-0149</t>
        </is>
      </c>
      <c r="B150" s="15" t="inlineStr">
        <is>
          <t>TS-22</t>
        </is>
      </c>
      <c r="C150" s="15" t="inlineStr">
        <is>
          <t>TC-073</t>
        </is>
      </c>
      <c r="D150" s="15" t="inlineStr">
        <is>
          <t>QUO</t>
        </is>
      </c>
      <c r="E150" s="16" t="inlineStr">
        <is>
          <t>Submission lists the missing documents and signature</t>
        </is>
      </c>
      <c r="F150" s="16" t="inlineStr">
        <is>
          <t>ag-000001</t>
        </is>
      </c>
      <c r="G150" s="16" t="inlineStr">
        <is>
          <t>1. POST /api/v1/portal/policies/{id}/submit with no documents or signature</t>
        </is>
      </c>
      <c r="H150" s="16" t="inlineStr">
        <is>
          <t>PRO requires IC copy, nominee IC, signature</t>
        </is>
      </c>
      <c r="I150" s="16" t="inlineStr">
        <is>
          <t>HTTP 422 SUBMISSION_INCOMPLETE with "Upload: IC copy", nominee IC and participant signature</t>
        </is>
      </c>
      <c r="J150" s="15" t="inlineStr">
        <is>
          <t>API</t>
        </is>
      </c>
      <c r="K150" s="16" t="inlineStr">
        <is>
          <t>Executed – API run (tools/testing/api-test-run.mjs)</t>
        </is>
      </c>
      <c r="L150" s="17" t="inlineStr">
        <is>
          <t>Passed</t>
        </is>
      </c>
      <c r="M150" s="16" t="inlineStr">
        <is>
          <t>api-test-run.json EX-035: POST /api/v1/portal/policies/f16fde6b-2488-470c-a7fd-a0d20332c6bb/submit → 422 SUBMISSION_INCOMPLETE – The application is not ready for submission [Upload: IC copy; Upload: IC copy of nominee(s), beneficiary or executor; Participant signature is required (sign on screen, send an e-signature link or upload the signed proposal form)]</t>
        </is>
      </c>
      <c r="N150" s="16" t="inlineStr">
        <is>
          <t>2 Oct 2026 22:13 UTC</t>
        </is>
      </c>
      <c r="O150" s="16" t="inlineStr">
        <is>
          <t>iorta TechNXT QA (API run)</t>
        </is>
      </c>
      <c r="P150" s="16" t="inlineStr"/>
    </row>
    <row r="151">
      <c r="A151" s="15" t="inlineStr">
        <is>
          <t>CS-0150</t>
        </is>
      </c>
      <c r="B151" s="15" t="inlineStr">
        <is>
          <t>TS-22</t>
        </is>
      </c>
      <c r="C151" s="15" t="inlineStr">
        <is>
          <t>TC-073</t>
        </is>
      </c>
      <c r="D151" s="15" t="inlineStr">
        <is>
          <t>QUO</t>
        </is>
      </c>
      <c r="E151" s="16" t="inlineStr">
        <is>
          <t>Journey: missing documents listed (suite)</t>
        </is>
      </c>
      <c r="F151" s="16" t="inlineStr">
        <is>
          <t>ag-000002, bk-000004, ops.maker, finance, underwriter</t>
        </is>
      </c>
      <c r="G151" s="16" t="inlineStr">
        <is>
          <t>1. Run `npm run test:e2e -w apps/api` (rebuilds the iift_test database from the migrations and seeds)
2. Submit without uploads</t>
        </is>
      </c>
      <c r="H151" s="16" t="inlineStr">
        <is>
          <t>PRO documents</t>
        </is>
      </c>
      <c r="I151" s="16" t="inlineStr">
        <is>
          <t>422 SUBMISSION_INCOMPLETE with 'Upload: IC copy'</t>
        </is>
      </c>
      <c r="J151" s="15" t="inlineStr">
        <is>
          <t>E2E</t>
        </is>
      </c>
      <c r="K151" s="16" t="inlineStr">
        <is>
          <t>Automated – apps/api/test/policy-lifecycle.e2e-spec.ts › runs the full Professional Takaful Plan journey with maker-checker payment verification</t>
        </is>
      </c>
      <c r="L151" s="17" t="inlineStr">
        <is>
          <t>Passed</t>
        </is>
      </c>
      <c r="M151" s="16" t="inlineStr">
        <is>
          <t>api-e2e-tests.json: 'Quotation to e-Policy and e-Receipt (FFR03, AP-17..45, BO-16..19) runs the full Professional Takaful Plan journey with maker-checker payment verification' passed (2 Oct 2026 14:55 UTC); test-reruns.json: passed (2 Oct 2026 22:00 UTC)</t>
        </is>
      </c>
      <c r="N151" s="16" t="inlineStr">
        <is>
          <t>2 Oct 2026 22:00 UTC</t>
        </is>
      </c>
      <c r="O151" s="16" t="inlineStr">
        <is>
          <t>iorta QA (Vitest e2e, iift_test database)</t>
        </is>
      </c>
      <c r="P151" s="16" t="inlineStr"/>
    </row>
    <row r="152">
      <c r="A152" s="15" t="inlineStr">
        <is>
          <t>CS-0151</t>
        </is>
      </c>
      <c r="B152" s="15" t="inlineStr">
        <is>
          <t>TS-22</t>
        </is>
      </c>
      <c r="C152" s="15" t="inlineStr">
        <is>
          <t>TC-073</t>
        </is>
      </c>
      <c r="D152" s="15" t="inlineStr">
        <is>
          <t>QUO</t>
        </is>
      </c>
      <c r="E152" s="16" t="inlineStr">
        <is>
          <t>Draft completion: questionnaire, nominees, uploads, signature, submit</t>
        </is>
      </c>
      <c r="F152" s="16" t="inlineStr">
        <is>
          <t>ag-000001</t>
        </is>
      </c>
      <c r="G152" s="16" t="inlineStr">
        <is>
          <t>1. Open the draft
2. Answer the questionnaire
3. Add nominees
4. Upload documents
5. Sign on screen
6. Submit</t>
        </is>
      </c>
      <c r="H152" s="16" t="inlineStr">
        <is>
          <t>Draft of the wizard run</t>
        </is>
      </c>
      <c r="I152" s="16" t="inlineStr">
        <is>
          <t>Readiness panel clears item by item; status PENDING_PAYMENT after submit</t>
        </is>
      </c>
      <c r="J152" s="15" t="inlineStr">
        <is>
          <t>UI</t>
        </is>
      </c>
      <c r="K152" s="16" t="inlineStr">
        <is>
          <t>Manual (exploratory)</t>
        </is>
      </c>
      <c r="L152" s="17" t="inlineStr">
        <is>
          <t>Passed</t>
        </is>
      </c>
      <c r="M152" s="16" t="inlineStr">
        <is>
          <t>Screens: a-draft-questionnaire.png, a-draft-nominees.png, a-draft-upload.png, a-draft-signature.png, a-draft-ready.png, a-draft-submitted.png (evidence/ui-screens)</t>
        </is>
      </c>
      <c r="N152" s="16" t="inlineStr">
        <is>
          <t>2 Oct 2026</t>
        </is>
      </c>
      <c r="O152" s="16" t="inlineStr">
        <is>
          <t>iorta QA (manual, exploratory)</t>
        </is>
      </c>
      <c r="P152" s="16" t="inlineStr"/>
    </row>
    <row r="153">
      <c r="A153" s="15" t="inlineStr">
        <is>
          <t>CS-0152</t>
        </is>
      </c>
      <c r="B153" s="15" t="inlineStr">
        <is>
          <t>TS-22</t>
        </is>
      </c>
      <c r="C153" s="15" t="inlineStr">
        <is>
          <t>TC-074</t>
        </is>
      </c>
      <c r="D153" s="15" t="inlineStr">
        <is>
          <t>QUO</t>
        </is>
      </c>
      <c r="E153" s="16" t="inlineStr">
        <is>
          <t>Participant signs on screen (PNG signature)</t>
        </is>
      </c>
      <c r="F153" s="16" t="inlineStr">
        <is>
          <t>ag-000001</t>
        </is>
      </c>
      <c r="G153" s="16" t="inlineStr">
        <is>
          <t>1. POST /api/v1/portal/policies/{id}/signatures with a text/html data URL
2. POST with a PNG data URL, signer PARTICIPANT</t>
        </is>
      </c>
      <c r="H153" s="16" t="inlineStr">
        <is>
          <t>1×1 PNG</t>
        </is>
      </c>
      <c r="I153" s="16" t="inlineStr">
        <is>
          <t>HTTP 201 with a documentId; a non-PNG signature is refused with 422 INVALID_SIGNATURE</t>
        </is>
      </c>
      <c r="J153" s="15" t="inlineStr">
        <is>
          <t>API</t>
        </is>
      </c>
      <c r="K153" s="16" t="inlineStr">
        <is>
          <t>Executed – API run (tools/testing/api-test-run.mjs)</t>
        </is>
      </c>
      <c r="L153" s="17" t="inlineStr">
        <is>
          <t>Passed</t>
        </is>
      </c>
      <c r="M153" s="16" t="inlineStr">
        <is>
          <t>api-test-run.json EX-038: POST /api/v1/portal/policies/f16fde6b-2488-470c-a7fd-a0d20332c6bb/signatures → 422 INVALID_SIGNATURE – The signature must be a PNG image | 201 documentId=present</t>
        </is>
      </c>
      <c r="N153" s="16" t="inlineStr">
        <is>
          <t>2 Oct 2026 22:13 UTC</t>
        </is>
      </c>
      <c r="O153" s="16" t="inlineStr">
        <is>
          <t>iorta TechNXT QA (API run)</t>
        </is>
      </c>
      <c r="P153" s="16" t="inlineStr"/>
    </row>
    <row r="154">
      <c r="A154" s="15" t="inlineStr">
        <is>
          <t>CS-0153</t>
        </is>
      </c>
      <c r="B154" s="15" t="inlineStr">
        <is>
          <t>TS-23</t>
        </is>
      </c>
      <c r="C154" s="15" t="inlineStr">
        <is>
          <t>TC-075</t>
        </is>
      </c>
      <c r="D154" s="15" t="inlineStr">
        <is>
          <t>QUO</t>
        </is>
      </c>
      <c r="E154" s="16" t="inlineStr">
        <is>
          <t>E-signature link is sent to the participant and an invalid public token reveals nothing</t>
        </is>
      </c>
      <c r="F154" s="16" t="inlineStr">
        <is>
          <t>ag-000001, anonymous</t>
        </is>
      </c>
      <c r="G154" s="16" t="inlineStr">
        <is>
          <t>1. POST /api/v1/portal/policies/{id}/signatures/link with the participant e-mail
2. GET /api/v1/public/esign/&lt;43 unknown characters&gt;
3. GET /api/v1/public/esign/short</t>
        </is>
      </c>
      <c r="H154" s="16" t="inlineStr">
        <is>
          <t>policy.esign_link_hours = 72</t>
        </is>
      </c>
      <c r="I154" s="16" t="inlineStr">
        <is>
          <t>HTTP 200/201 with sentTo and expiresAt about 72 hours ahead; GET /public/esign/{bad token} returns 404 or 422 without policy data</t>
        </is>
      </c>
      <c r="J154" s="15" t="inlineStr">
        <is>
          <t>API</t>
        </is>
      </c>
      <c r="K154" s="16" t="inlineStr">
        <is>
          <t>Executed – API run (tools/testing/api-test-run.mjs)</t>
        </is>
      </c>
      <c r="L154" s="17" t="inlineStr">
        <is>
          <t>Passed</t>
        </is>
      </c>
      <c r="M154" s="16" t="inlineStr">
        <is>
          <t>api-test-run.json EX-037: POST /api/v1/portal/policies/f16fde6b-2488-470c-a7fd-a0d20332c6bb/signatures/link; GET /api/v1/public/esign/{unknown} → 200 sentTo=hidayah@mail.example in 72.0 h | 422 LINK_INVALID – This signature link is invalid, expired or has already been used | 404 NOT_FOUND – Signature request not found</t>
        </is>
      </c>
      <c r="N154" s="16" t="inlineStr">
        <is>
          <t>2 Oct 2026 22:13 UTC</t>
        </is>
      </c>
      <c r="O154" s="16" t="inlineStr">
        <is>
          <t>iorta TechNXT QA (API run)</t>
        </is>
      </c>
      <c r="P154" s="16" t="inlineStr"/>
    </row>
    <row r="155">
      <c r="A155" s="15" t="inlineStr">
        <is>
          <t>CS-0154</t>
        </is>
      </c>
      <c r="B155" s="15" t="inlineStr">
        <is>
          <t>TS-23</t>
        </is>
      </c>
      <c r="C155" s="15" t="inlineStr">
        <is>
          <t>TC-075</t>
        </is>
      </c>
      <c r="D155" s="15" t="inlineStr">
        <is>
          <t>QUO</t>
        </is>
      </c>
      <c r="E155" s="16" t="inlineStr">
        <is>
          <t>E-signature link sent from the policy page</t>
        </is>
      </c>
      <c r="F155" s="16" t="inlineStr">
        <is>
          <t>ag-000001</t>
        </is>
      </c>
      <c r="G155" s="16" t="inlineStr">
        <is>
          <t>1. Open the draft
2. Click 'Send e-signature link'
3. Enter the participant e-mail
4. Send</t>
        </is>
      </c>
      <c r="H155" s="16" t="inlineStr">
        <is>
          <t>Participant e-mail</t>
        </is>
      </c>
      <c r="I155" s="16" t="inlineStr">
        <is>
          <t>Confirmation with the recipient and expiry</t>
        </is>
      </c>
      <c r="J155" s="15" t="inlineStr">
        <is>
          <t>UI</t>
        </is>
      </c>
      <c r="K155" s="16" t="inlineStr">
        <is>
          <t>Manual (exploratory)</t>
        </is>
      </c>
      <c r="L155" s="17" t="inlineStr">
        <is>
          <t>Passed</t>
        </is>
      </c>
      <c r="M155" s="16" t="inlineStr">
        <is>
          <t>Screens: a-link-modal.png, a-link-sent.png (evidence/ui-screens)</t>
        </is>
      </c>
      <c r="N155" s="16" t="inlineStr">
        <is>
          <t>2 Oct 2026</t>
        </is>
      </c>
      <c r="O155" s="16" t="inlineStr">
        <is>
          <t>iorta QA (manual, exploratory)</t>
        </is>
      </c>
      <c r="P155" s="16" t="inlineStr"/>
    </row>
    <row r="156">
      <c r="A156" s="15" t="inlineStr">
        <is>
          <t>CS-0155</t>
        </is>
      </c>
      <c r="B156" s="15" t="inlineStr">
        <is>
          <t>TS-23</t>
        </is>
      </c>
      <c r="C156" s="15" t="inlineStr">
        <is>
          <t>TC-076</t>
        </is>
      </c>
      <c r="D156" s="15" t="inlineStr">
        <is>
          <t>QUO</t>
        </is>
      </c>
      <c r="E156" s="16" t="inlineStr">
        <is>
          <t>Public e-signature page states</t>
        </is>
      </c>
      <c r="F156" s="16" t="inlineStr">
        <is>
          <t>Participant</t>
        </is>
      </c>
      <c r="G156" s="16" t="inlineStr">
        <is>
          <t>1. Open the link
2. Type a wrong name
3. Sign with the right name
4. Reopen the link
5. Open an invalid link</t>
        </is>
      </c>
      <c r="H156" s="16" t="inlineStr">
        <is>
          <t>Signature link</t>
        </is>
      </c>
      <c r="I156" s="16" t="inlineStr">
        <is>
          <t>Review page; 'type your full name exactly' error; signed confirmation; used/invalid link page</t>
        </is>
      </c>
      <c r="J156" s="15" t="inlineStr">
        <is>
          <t>UI</t>
        </is>
      </c>
      <c r="K156" s="16" t="inlineStr">
        <is>
          <t>Manual (exploratory)</t>
        </is>
      </c>
      <c r="L156" s="17" t="inlineStr">
        <is>
          <t>Passed</t>
        </is>
      </c>
      <c r="M156" s="16" t="inlineStr">
        <is>
          <t>Screens: a-esign.png, a-esign-mismatch.png, a-esign-done.png, a-esign-invalid.png (evidence/ui-screens)</t>
        </is>
      </c>
      <c r="N156" s="16" t="inlineStr">
        <is>
          <t>2 Oct 2026</t>
        </is>
      </c>
      <c r="O156" s="16" t="inlineStr">
        <is>
          <t>iorta QA (manual, exploratory)</t>
        </is>
      </c>
      <c r="P156" s="16" t="inlineStr"/>
    </row>
    <row r="157">
      <c r="A157" s="15" t="inlineStr">
        <is>
          <t>CS-0156</t>
        </is>
      </c>
      <c r="B157" s="15" t="inlineStr">
        <is>
          <t>TS-23</t>
        </is>
      </c>
      <c r="C157" s="15" t="inlineStr">
        <is>
          <t>TC-077</t>
        </is>
      </c>
      <c r="D157" s="15" t="inlineStr">
        <is>
          <t>QUO</t>
        </is>
      </c>
      <c r="E157" s="16" t="inlineStr">
        <is>
          <t>Participant signs through the e-mailed link</t>
        </is>
      </c>
      <c r="F157" s="16" t="inlineStr">
        <is>
          <t>Participant</t>
        </is>
      </c>
      <c r="G157" s="16" t="inlineStr">
        <is>
          <t>1. Receive the e-mail
2. Open the link
3. Type the name, consent, sign</t>
        </is>
      </c>
      <c r="H157" s="16" t="inlineStr">
        <is>
          <t>SMTP relay</t>
        </is>
      </c>
      <c r="I157" s="16" t="inlineStr">
        <is>
          <t>Signature stored; link marked used</t>
        </is>
      </c>
      <c r="J157" s="15" t="inlineStr">
        <is>
          <t>SIT</t>
        </is>
      </c>
      <c r="K157" s="16" t="inlineStr">
        <is>
          <t>Not automated</t>
        </is>
      </c>
      <c r="L157" s="18" t="inlineStr">
        <is>
          <t>Not executed</t>
        </is>
      </c>
      <c r="M157" s="16" t="inlineStr">
        <is>
          <t>Not executed – requires IIFT environment (SMTP relay to deliver the link); UI states verified manually</t>
        </is>
      </c>
      <c r="N157" s="16" t="inlineStr"/>
      <c r="O157" s="16" t="inlineStr"/>
      <c r="P157" s="16" t="inlineStr"/>
    </row>
    <row r="158">
      <c r="A158" s="15" t="inlineStr">
        <is>
          <t>CS-0157</t>
        </is>
      </c>
      <c r="B158" s="15" t="inlineStr">
        <is>
          <t>TS-24</t>
        </is>
      </c>
      <c r="C158" s="15" t="inlineStr">
        <is>
          <t>TC-078</t>
        </is>
      </c>
      <c r="D158" s="15" t="inlineStr">
        <is>
          <t>QUO</t>
        </is>
      </c>
      <c r="E158" s="16" t="inlineStr">
        <is>
          <t>Complete application is submitted and waits for payment</t>
        </is>
      </c>
      <c r="F158" s="16" t="inlineStr">
        <is>
          <t>ag-000001</t>
        </is>
      </c>
      <c r="G158" s="16" t="inlineStr">
        <is>
          <t>1. POST /api/v1/portal/policies/{id}/submit with everything complete</t>
        </is>
      </c>
      <c r="H158" s="16" t="inlineStr">
        <is>
          <t>PRO pays before issuance; no referral reasons</t>
        </is>
      </c>
      <c r="I158" s="16" t="inlineStr">
        <is>
          <t>HTTP 200; status PENDING_PAYMENT (pay-before-issuance product, no referral)</t>
        </is>
      </c>
      <c r="J158" s="15" t="inlineStr">
        <is>
          <t>API</t>
        </is>
      </c>
      <c r="K158" s="16" t="inlineStr">
        <is>
          <t>Executed – API run (tools/testing/api-test-run.mjs)</t>
        </is>
      </c>
      <c r="L158" s="17" t="inlineStr">
        <is>
          <t>Passed</t>
        </is>
      </c>
      <c r="M158" s="16" t="inlineStr">
        <is>
          <t>api-test-run.json EX-039: POST /api/v1/portal/policies/f16fde6b-2488-470c-a7fd-a0d20332c6bb/submit → 200 PENDING_PAYMENT</t>
        </is>
      </c>
      <c r="N158" s="16" t="inlineStr">
        <is>
          <t>2 Oct 2026 22:13 UTC</t>
        </is>
      </c>
      <c r="O158" s="16" t="inlineStr">
        <is>
          <t>iorta TechNXT QA (API run)</t>
        </is>
      </c>
      <c r="P158" s="16" t="inlineStr"/>
    </row>
    <row r="159">
      <c r="A159" s="15" t="inlineStr">
        <is>
          <t>CS-0158</t>
        </is>
      </c>
      <c r="B159" s="15" t="inlineStr">
        <is>
          <t>TS-24</t>
        </is>
      </c>
      <c r="C159" s="15" t="inlineStr">
        <is>
          <t>TC-078</t>
        </is>
      </c>
      <c r="D159" s="15" t="inlineStr">
        <is>
          <t>QUO</t>
        </is>
      </c>
      <c r="E159" s="16" t="inlineStr">
        <is>
          <t>Journey: submission moves to PENDING_PAYMENT (suite)</t>
        </is>
      </c>
      <c r="F159" s="16" t="inlineStr">
        <is>
          <t>ag-000002, bk-000004, ops.maker, finance, underwriter</t>
        </is>
      </c>
      <c r="G159" s="16" t="inlineStr">
        <is>
          <t>1. Run `npm run test:e2e -w apps/api` (rebuilds the iift_test database from the migrations and seeds)
2. POST /submit</t>
        </is>
      </c>
      <c r="H159" s="16" t="inlineStr">
        <is>
          <t>Complete application</t>
        </is>
      </c>
      <c r="I159" s="16" t="inlineStr">
        <is>
          <t>200 PENDING_PAYMENT</t>
        </is>
      </c>
      <c r="J159" s="15" t="inlineStr">
        <is>
          <t>E2E</t>
        </is>
      </c>
      <c r="K159" s="16" t="inlineStr">
        <is>
          <t>Automated – apps/api/test/policy-lifecycle.e2e-spec.ts › runs the full Professional Takaful Plan journey with maker-checker payment verification</t>
        </is>
      </c>
      <c r="L159" s="17" t="inlineStr">
        <is>
          <t>Passed</t>
        </is>
      </c>
      <c r="M159" s="16" t="inlineStr">
        <is>
          <t>api-e2e-tests.json: 'Quotation to e-Policy and e-Receipt (FFR03, AP-17..45, BO-16..19) runs the full Professional Takaful Plan journey with maker-checker payment verification' passed (2 Oct 2026 14:55 UTC); test-reruns.json: passed (2 Oct 2026 22:00 UTC)</t>
        </is>
      </c>
      <c r="N159" s="16" t="inlineStr">
        <is>
          <t>2 Oct 2026 22:00 UTC</t>
        </is>
      </c>
      <c r="O159" s="16" t="inlineStr">
        <is>
          <t>iorta QA (Vitest e2e, iift_test database)</t>
        </is>
      </c>
      <c r="P159" s="16" t="inlineStr"/>
    </row>
    <row r="160">
      <c r="A160" s="15" t="inlineStr">
        <is>
          <t>CS-0159</t>
        </is>
      </c>
      <c r="B160" s="15" t="inlineStr">
        <is>
          <t>TS-24</t>
        </is>
      </c>
      <c r="C160" s="15" t="inlineStr">
        <is>
          <t>TC-079</t>
        </is>
      </c>
      <c r="D160" s="15" t="inlineStr">
        <is>
          <t>QUO</t>
        </is>
      </c>
      <c r="E160" s="16" t="inlineStr">
        <is>
          <t>High-risk hire purchase application is referred for underwriting</t>
        </is>
      </c>
      <c r="F160" s="16" t="inlineStr">
        <is>
          <t>ag-000001</t>
        </is>
      </c>
      <c r="G160" s="16" t="inlineStr">
        <is>
          <t>1. POST /api/v1/portal/policies FTP-HP 200,000 over 60 months
2. Answer the questionnaire; upload PROPOSAL_FORM, PDS, IC_COPY, HP_APPROVAL_LETTER, DRAWDOWN_LETTER; sign
3. POST /submit
4. GET the policy detail</t>
        </is>
      </c>
      <c r="H160" s="16" t="inlineStr">
        <is>
          <t>Participant of EX-010; financier Bank A</t>
        </is>
      </c>
      <c r="I160" s="16" t="inlineStr">
        <is>
          <t>After documents, questionnaire and signature the submission returns status PENDING_APPROVAL with the high-risk and quality-check reasons</t>
        </is>
      </c>
      <c r="J160" s="15" t="inlineStr">
        <is>
          <t>API</t>
        </is>
      </c>
      <c r="K160" s="16" t="inlineStr">
        <is>
          <t>Executed – API run (tools/testing/api-test-run.mjs)</t>
        </is>
      </c>
      <c r="L160" s="17" t="inlineStr">
        <is>
          <t>Passed</t>
        </is>
      </c>
      <c r="M160" s="16" t="inlineStr">
        <is>
          <t>api-test-run.json EX-050: POST /api/v1/portal/policies (FTP-HP 200,000) … submit → 200 PENDING_APPROVAL; reasons=["Financing amount B$200,000 exceeds the high-risk limit of B$150,000 – refer to IIFT Sales team","Quality check by IIFT before contract issuance"]</t>
        </is>
      </c>
      <c r="N160" s="16" t="inlineStr">
        <is>
          <t>2 Oct 2026 22:13 UTC</t>
        </is>
      </c>
      <c r="O160" s="16" t="inlineStr">
        <is>
          <t>iorta TechNXT QA (API run)</t>
        </is>
      </c>
      <c r="P160" s="16" t="inlineStr"/>
    </row>
    <row r="161">
      <c r="A161" s="15" t="inlineStr">
        <is>
          <t>CS-0160</t>
        </is>
      </c>
      <c r="B161" s="15" t="inlineStr">
        <is>
          <t>TS-24</t>
        </is>
      </c>
      <c r="C161" s="15" t="inlineStr">
        <is>
          <t>TC-079</t>
        </is>
      </c>
      <c r="D161" s="15" t="inlineStr">
        <is>
          <t>QUO</t>
        </is>
      </c>
      <c r="E161" s="16" t="inlineStr">
        <is>
          <t>High-risk financing referral visible to the underwriter (suite)</t>
        </is>
      </c>
      <c r="F161" s="16" t="inlineStr">
        <is>
          <t>ag-000002, bk-000004, ops.maker, finance, underwriter</t>
        </is>
      </c>
      <c r="G161" s="16" t="inlineStr">
        <is>
          <t>1. Run `npm run test:e2e -w apps/api` (rebuilds the iift_test database from the migrations and seeds)
2. Find the pending POLICY_REFERRAL; GET as underwriter</t>
        </is>
      </c>
      <c r="H161" s="16" t="inlineStr">
        <is>
          <t>Seeded referral above B$150,000</t>
        </is>
      </c>
      <c r="I161" s="16" t="inlineStr">
        <is>
          <t>Payload has a high-risk reason; first action SUBMIT</t>
        </is>
      </c>
      <c r="J161" s="15" t="inlineStr">
        <is>
          <t>E2E</t>
        </is>
      </c>
      <c r="K161" s="16" t="inlineStr">
        <is>
          <t>Automated – apps/api/test/policy-lifecycle.e2e-spec.ts › refers high-risk financing for approval and prevents self-approval</t>
        </is>
      </c>
      <c r="L161" s="17" t="inlineStr">
        <is>
          <t>Passed</t>
        </is>
      </c>
      <c r="M161" s="16" t="inlineStr">
        <is>
          <t>api-e2e-tests.json: 'Quotation to e-Policy and e-Receipt (FFR03, AP-17..45, BO-16..19) refers high-risk financing for approval and prevents self-approval' passed (2 Oct 2026 14:55 UTC); test-reruns.json: passed (2 Oct 2026 22:00 UTC)</t>
        </is>
      </c>
      <c r="N161" s="16" t="inlineStr">
        <is>
          <t>2 Oct 2026 22:00 UTC</t>
        </is>
      </c>
      <c r="O161" s="16" t="inlineStr">
        <is>
          <t>iorta QA (Vitest e2e, iift_test database)</t>
        </is>
      </c>
      <c r="P161" s="16" t="inlineStr"/>
    </row>
    <row r="162">
      <c r="A162" s="15" t="inlineStr">
        <is>
          <t>CS-0161</t>
        </is>
      </c>
      <c r="B162" s="15" t="inlineStr">
        <is>
          <t>TS-24</t>
        </is>
      </c>
      <c r="C162" s="15" t="inlineStr">
        <is>
          <t>TC-080</t>
        </is>
      </c>
      <c r="D162" s="15" t="inlineStr">
        <is>
          <t>QUO</t>
        </is>
      </c>
      <c r="E162" s="16" t="inlineStr">
        <is>
          <t>Blocked bank: new business is refused for every officer of the bank</t>
        </is>
      </c>
      <c r="F162" s="16" t="inlineStr">
        <is>
          <t>bk-000005</t>
        </is>
      </c>
      <c r="G162" s="16" t="inlineStr">
        <is>
          <t>1. As bk-000005 GET /api/v1/portal/dashboard
2. POST /api/v1/portal/policies FTP-NP 20,000
3. POST /submit</t>
        </is>
      </c>
      <c r="H162" s="16" t="inlineStr">
        <is>
          <t>Bank BNK-MIB blocked by the demonstration data (overdue policy)</t>
        </is>
      </c>
      <c r="I162" s="16" t="inlineStr">
        <is>
          <t>HTTP 422 AGENCY_BLOCKED on submit; portal dashboard shows the AGENCY_BLOCKED pending action</t>
        </is>
      </c>
      <c r="J162" s="15" t="inlineStr">
        <is>
          <t>API</t>
        </is>
      </c>
      <c r="K162" s="16" t="inlineStr">
        <is>
          <t>Executed – API run (tools/testing/api-test-run.mjs)</t>
        </is>
      </c>
      <c r="L162" s="17" t="inlineStr">
        <is>
          <t>Passed</t>
        </is>
      </c>
      <c r="M162" s="16" t="inlineStr">
        <is>
          <t>api-test-run.json EX-054: GET /api/v1/portal/dashboard; POST /api/v1/portal/policies; POST …/submit (bk-000005) → issuanceBlocked=true pendingAction=true | quotation 201 | 422 AGENCY_BLOCKED – New business is blocked for your agency/bank because contribution payments are overdue. Submit the outstanding payments to continue.</t>
        </is>
      </c>
      <c r="N162" s="16" t="inlineStr">
        <is>
          <t>2 Oct 2026 22:13 UTC</t>
        </is>
      </c>
      <c r="O162" s="16" t="inlineStr">
        <is>
          <t>iorta TechNXT QA (API run)</t>
        </is>
      </c>
      <c r="P162" s="16" t="inlineStr"/>
    </row>
    <row r="163">
      <c r="A163" s="15" t="inlineStr">
        <is>
          <t>CS-0162</t>
        </is>
      </c>
      <c r="B163" s="15" t="inlineStr">
        <is>
          <t>TS-24</t>
        </is>
      </c>
      <c r="C163" s="15" t="inlineStr">
        <is>
          <t>TC-081</t>
        </is>
      </c>
      <c r="D163" s="15" t="inlineStr">
        <is>
          <t>QUO</t>
        </is>
      </c>
      <c r="E163" s="16" t="inlineStr">
        <is>
          <t>Rates re-applied at submission after a rate change</t>
        </is>
      </c>
      <c r="F163" s="16" t="inlineStr">
        <is>
          <t>manager, agent</t>
        </is>
      </c>
      <c r="G163" s="16" t="inlineStr">
        <is>
          <t>1. Save a draft
2. Change the product rate
3. Submit</t>
        </is>
      </c>
      <c r="H163" s="16" t="inlineStr">
        <is>
          <t>Rate table</t>
        </is>
      </c>
      <c r="I163" s="16" t="inlineStr">
        <is>
          <t>Submitted contribution uses the new rate</t>
        </is>
      </c>
      <c r="J163" s="15" t="inlineStr">
        <is>
          <t>API</t>
        </is>
      </c>
      <c r="K163" s="16" t="inlineStr">
        <is>
          <t>Not automated</t>
        </is>
      </c>
      <c r="L163" s="18" t="inlineStr">
        <is>
          <t>Not executed</t>
        </is>
      </c>
      <c r="M163" s="16" t="inlineStr">
        <is>
          <t>Not executed in this run; scheduled for SIT regression</t>
        </is>
      </c>
      <c r="N163" s="16" t="inlineStr"/>
      <c r="O163" s="16" t="inlineStr"/>
      <c r="P163" s="16" t="inlineStr"/>
    </row>
    <row r="164">
      <c r="A164" s="15" t="inlineStr">
        <is>
          <t>CS-0163</t>
        </is>
      </c>
      <c r="B164" s="15" t="inlineStr">
        <is>
          <t>TS-25</t>
        </is>
      </c>
      <c r="C164" s="15" t="inlineStr">
        <is>
          <t>TC-082</t>
        </is>
      </c>
      <c r="D164" s="15" t="inlineStr">
        <is>
          <t>WFL</t>
        </is>
      </c>
      <c r="E164" s="16" t="inlineStr">
        <is>
          <t>Referral appears in the underwriter inbox; the maker cannot decide it</t>
        </is>
      </c>
      <c r="F164" s="16" t="inlineStr">
        <is>
          <t>underwriter, ag-000001</t>
        </is>
      </c>
      <c r="G164" s="16" t="inlineStr">
        <is>
          <t>1. As underwriter GET /api/v1/backoffice/approvals/inbox
2. As ag-000001 POST approvals/{id}/approve</t>
        </is>
      </c>
      <c r="H164" s="16" t="inlineStr">
        <is>
          <t>POLICY_REFERRAL of EX-050</t>
        </is>
      </c>
      <c r="I164" s="16" t="inlineStr">
        <is>
          <t>Inbox lists a POLICY_REFERRAL request for the quotation; the agent has no back-office access (403 WRONG_AUDIENCE)</t>
        </is>
      </c>
      <c r="J164" s="15" t="inlineStr">
        <is>
          <t>API</t>
        </is>
      </c>
      <c r="K164" s="16" t="inlineStr">
        <is>
          <t>Executed – API run (tools/testing/api-test-run.mjs)</t>
        </is>
      </c>
      <c r="L164" s="17" t="inlineStr">
        <is>
          <t>Passed</t>
        </is>
      </c>
      <c r="M164" s="16" t="inlineStr">
        <is>
          <t>api-test-run.json EX-051: GET /api/v1/backoffice/approvals/inbox (underwriter); POST approve as the agent → request POLICY_REFERRAL PENDING | 403 WRONG_AUDIENCE – This function is not available to your account type</t>
        </is>
      </c>
      <c r="N164" s="16" t="inlineStr">
        <is>
          <t>2 Oct 2026 22:13 UTC</t>
        </is>
      </c>
      <c r="O164" s="16" t="inlineStr">
        <is>
          <t>iorta TechNXT QA (API run)</t>
        </is>
      </c>
      <c r="P164" s="16" t="inlineStr"/>
    </row>
    <row r="165">
      <c r="A165" s="15" t="inlineStr">
        <is>
          <t>CS-0164</t>
        </is>
      </c>
      <c r="B165" s="15" t="inlineStr">
        <is>
          <t>TS-25</t>
        </is>
      </c>
      <c r="C165" s="15" t="inlineStr">
        <is>
          <t>TC-083</t>
        </is>
      </c>
      <c r="D165" s="15" t="inlineStr">
        <is>
          <t>WFL</t>
        </is>
      </c>
      <c r="E165" s="16" t="inlineStr">
        <is>
          <t>Segregation of duties: a back-office maker cannot approve their own registration</t>
        </is>
      </c>
      <c r="F165" s="16" t="inlineStr">
        <is>
          <t>ops.maker</t>
        </is>
      </c>
      <c r="G165" s="16" t="inlineStr">
        <is>
          <t>1. As ops.maker POST /api/v1/backoffice/agents (MAIN_AGENT under AGY-DT)
2. GET /api/v1/backoffice/approvals?status=PENDING
3. POST approvals/{own request}/approve</t>
        </is>
      </c>
      <c r="H165" s="16" t="inlineStr">
        <is>
          <t>ops.maker holds bo.approve.agents? no – segregation checked first</t>
        </is>
      </c>
      <c r="I165" s="16" t="inlineStr">
        <is>
          <t>HTTP 422 SEGREGATION_OF_DUTIES</t>
        </is>
      </c>
      <c r="J165" s="15" t="inlineStr">
        <is>
          <t>API</t>
        </is>
      </c>
      <c r="K165" s="16" t="inlineStr">
        <is>
          <t>Executed – API run (tools/testing/api-test-run.mjs)</t>
        </is>
      </c>
      <c r="L165" s="17" t="inlineStr">
        <is>
          <t>Passed</t>
        </is>
      </c>
      <c r="M165" s="16" t="inlineStr">
        <is>
          <t>api-test-run.json EX-075: POST /api/v1/backoffice/agents; POST approvals/{id}/approve by the same user → 201 AG-000016 | 422 SEGREGATION_OF_DUTIES – You cannot approve or reject a request you submitted</t>
        </is>
      </c>
      <c r="N165" s="16" t="inlineStr">
        <is>
          <t>2 Oct 2026 22:13 UTC</t>
        </is>
      </c>
      <c r="O165" s="16" t="inlineStr">
        <is>
          <t>iorta TechNXT QA (API run)</t>
        </is>
      </c>
      <c r="P165" s="16" t="inlineStr"/>
    </row>
    <row r="166">
      <c r="A166" s="15" t="inlineStr">
        <is>
          <t>CS-0165</t>
        </is>
      </c>
      <c r="B166" s="15" t="inlineStr">
        <is>
          <t>TS-25</t>
        </is>
      </c>
      <c r="C166" s="15" t="inlineStr">
        <is>
          <t>TC-084</t>
        </is>
      </c>
      <c r="D166" s="15" t="inlineStr">
        <is>
          <t>WFL</t>
        </is>
      </c>
      <c r="E166" s="16" t="inlineStr">
        <is>
          <t>A decided request cannot be decided again</t>
        </is>
      </c>
      <c r="F166" s="16" t="inlineStr">
        <is>
          <t>underwriter</t>
        </is>
      </c>
      <c r="G166" s="16" t="inlineStr">
        <is>
          <t>1. As underwriter POST approvals/{id}/reject on the decided request</t>
        </is>
      </c>
      <c r="H166" s="16" t="inlineStr">
        <is>
          <t>Request of EX-052</t>
        </is>
      </c>
      <c r="I166" s="16" t="inlineStr">
        <is>
          <t>HTTP 422 REQUEST_NOT_PENDING</t>
        </is>
      </c>
      <c r="J166" s="15" t="inlineStr">
        <is>
          <t>API</t>
        </is>
      </c>
      <c r="K166" s="16" t="inlineStr">
        <is>
          <t>Executed – API run (tools/testing/api-test-run.mjs)</t>
        </is>
      </c>
      <c r="L166" s="17" t="inlineStr">
        <is>
          <t>Passed</t>
        </is>
      </c>
      <c r="M166" s="16" t="inlineStr">
        <is>
          <t>api-test-run.json EX-053: POST /api/v1/backoffice/approvals/48e501c3-f7bf-4a6d-ad54-1e15e6a4e63b/reject → 422 REQUEST_NOT_PENDING – This request has already been decided</t>
        </is>
      </c>
      <c r="N166" s="16" t="inlineStr">
        <is>
          <t>2 Oct 2026 22:13 UTC</t>
        </is>
      </c>
      <c r="O166" s="16" t="inlineStr">
        <is>
          <t>iorta TechNXT QA (API run)</t>
        </is>
      </c>
      <c r="P166" s="16" t="inlineStr"/>
    </row>
    <row r="167">
      <c r="A167" s="15" t="inlineStr">
        <is>
          <t>CS-0166</t>
        </is>
      </c>
      <c r="B167" s="15" t="inlineStr">
        <is>
          <t>TS-25</t>
        </is>
      </c>
      <c r="C167" s="15" t="inlineStr">
        <is>
          <t>TC-084</t>
        </is>
      </c>
      <c r="D167" s="15" t="inlineStr">
        <is>
          <t>WFL</t>
        </is>
      </c>
      <c r="E167" s="16" t="inlineStr">
        <is>
          <t>Checker rejects with mandatory remarks; the maker sees the reason</t>
        </is>
      </c>
      <c r="F167" s="16" t="inlineStr">
        <is>
          <t>ops.checker, ops.maker</t>
        </is>
      </c>
      <c r="G167" s="16" t="inlineStr">
        <is>
          <t>1. As ops.checker POST approvals/{id}/reject without remarks
2. POST reject with remarks
3. As ops.maker GET /api/v1/backoffice/agents/{id}</t>
        </is>
      </c>
      <c r="H167" s="16" t="inlineStr">
        <is>
          <t>Request of EX-075</t>
        </is>
      </c>
      <c r="I167" s="16" t="inlineStr">
        <is>
          <t>Reject without remarks → 400; with remarks → 200 and status REJECTED; agent status REJECTED</t>
        </is>
      </c>
      <c r="J167" s="15" t="inlineStr">
        <is>
          <t>API</t>
        </is>
      </c>
      <c r="K167" s="16" t="inlineStr">
        <is>
          <t>Executed – API run (tools/testing/api-test-run.mjs)</t>
        </is>
      </c>
      <c r="L167" s="17" t="inlineStr">
        <is>
          <t>Passed</t>
        </is>
      </c>
      <c r="M167" s="16" t="inlineStr">
        <is>
          <t>api-test-run.json EX-076: POST /api/v1/backoffice/approvals/bbdcfa8d-7e0e-4183-a9f8-faf2d24b91aa/reject → 400 | 200 REJECTED | agent REJECTED</t>
        </is>
      </c>
      <c r="N167" s="16" t="inlineStr">
        <is>
          <t>2 Oct 2026 22:13 UTC</t>
        </is>
      </c>
      <c r="O167" s="16" t="inlineStr">
        <is>
          <t>iorta TechNXT QA (API run)</t>
        </is>
      </c>
      <c r="P167" s="16" t="inlineStr"/>
    </row>
    <row r="168">
      <c r="A168" s="15" t="inlineStr">
        <is>
          <t>CS-0167</t>
        </is>
      </c>
      <c r="B168" s="15" t="inlineStr">
        <is>
          <t>TS-25</t>
        </is>
      </c>
      <c r="C168" s="15" t="inlineStr">
        <is>
          <t>TC-085</t>
        </is>
      </c>
      <c r="D168" s="15" t="inlineStr">
        <is>
          <t>WFL</t>
        </is>
      </c>
      <c r="E168" s="16" t="inlineStr">
        <is>
          <t>Second approval level above B$300,000</t>
        </is>
      </c>
      <c r="F168" s="16" t="inlineStr">
        <is>
          <t>underwriter, manager</t>
        </is>
      </c>
      <c r="G168" s="16" t="inlineStr">
        <is>
          <t>1. Submit a property financing quotation of B$400,000
2. Approve as underwriter
3. Approve as manager</t>
        </is>
      </c>
      <c r="H168" s="16" t="inlineStr">
        <is>
          <t>POLICY_REFERRAL thresholds</t>
        </is>
      </c>
      <c r="I168" s="16" t="inlineStr">
        <is>
          <t>Request needs two different approvers; the first approver cannot approve the second level</t>
        </is>
      </c>
      <c r="J168" s="15" t="inlineStr">
        <is>
          <t>API</t>
        </is>
      </c>
      <c r="K168" s="16" t="inlineStr">
        <is>
          <t>Not automated</t>
        </is>
      </c>
      <c r="L168" s="18" t="inlineStr">
        <is>
          <t>Not executed</t>
        </is>
      </c>
      <c r="M168" s="16" t="inlineStr">
        <is>
          <t>Not executed in this run – PFT high-risk limit 500,000 requires an eligible participant and documents; scheduled for SIT regression</t>
        </is>
      </c>
      <c r="N168" s="16" t="inlineStr"/>
      <c r="O168" s="16" t="inlineStr"/>
      <c r="P168" s="16" t="inlineStr"/>
    </row>
    <row r="169">
      <c r="A169" s="15" t="inlineStr">
        <is>
          <t>CS-0168</t>
        </is>
      </c>
      <c r="B169" s="15" t="inlineStr">
        <is>
          <t>TS-25</t>
        </is>
      </c>
      <c r="C169" s="15" t="inlineStr">
        <is>
          <t>TC-086</t>
        </is>
      </c>
      <c r="D169" s="15" t="inlineStr">
        <is>
          <t>WFL</t>
        </is>
      </c>
      <c r="E169" s="16" t="inlineStr">
        <is>
          <t>withoutCiphertext: leaves scalar and empty payloads untouched</t>
        </is>
      </c>
      <c r="F169" s="16" t="inlineStr">
        <is>
          <t>Developer / CI</t>
        </is>
      </c>
      <c r="G169" s="16" t="inlineStr">
        <is>
          <t>1. Run `npm test -w apps/api` (Vitest)
2. Locate 'withoutCiphertext leaves scalar and empty payloads untouched' in the run output</t>
        </is>
      </c>
      <c r="H169" s="16" t="inlineStr">
        <is>
          <t>Fixtures defined in modules/workflow/workflow-payload.spec.ts</t>
        </is>
      </c>
      <c r="I169" s="16" t="inlineStr">
        <is>
          <t>The test passes: withoutCiphertext leaves scalar and empty payloads untouched.</t>
        </is>
      </c>
      <c r="J169" s="15" t="inlineStr">
        <is>
          <t>Unit</t>
        </is>
      </c>
      <c r="K169" s="16" t="inlineStr">
        <is>
          <t>Automated – modules/workflow/workflow-payload.spec.ts</t>
        </is>
      </c>
      <c r="L169" s="17" t="inlineStr">
        <is>
          <t>Passed</t>
        </is>
      </c>
      <c r="M169" s="16" t="inlineStr">
        <is>
          <t>api-unit-tests.json: 'withoutCiphertext leaves scalar and empty payloads untouched' passed (2 Oct 2026 14:55 UTC); test-reruns.json: passed (2 Oct 2026 21:45 UTC)</t>
        </is>
      </c>
      <c r="N169" s="16" t="inlineStr">
        <is>
          <t>2 Oct 2026 21:45 UTC</t>
        </is>
      </c>
      <c r="O169" s="16" t="inlineStr">
        <is>
          <t>iorta QA (Vitest)</t>
        </is>
      </c>
      <c r="P169" s="16" t="inlineStr"/>
    </row>
    <row r="170">
      <c r="A170" s="15" t="inlineStr">
        <is>
          <t>CS-0169</t>
        </is>
      </c>
      <c r="B170" s="15" t="inlineStr">
        <is>
          <t>TS-25</t>
        </is>
      </c>
      <c r="C170" s="15" t="inlineStr">
        <is>
          <t>TC-086</t>
        </is>
      </c>
      <c r="D170" s="15" t="inlineStr">
        <is>
          <t>WFL</t>
        </is>
      </c>
      <c r="E170" s="16" t="inlineStr">
        <is>
          <t>withoutCiphertext: removes encrypted values at any depth and keeps everything else</t>
        </is>
      </c>
      <c r="F170" s="16" t="inlineStr">
        <is>
          <t>Developer / CI</t>
        </is>
      </c>
      <c r="G170" s="16" t="inlineStr">
        <is>
          <t>1. Run `npm test -w apps/api` (Vitest)
2. Locate 'withoutCiphertext removes encrypted values at any depth and keeps everything else' in the run output</t>
        </is>
      </c>
      <c r="H170" s="16" t="inlineStr">
        <is>
          <t>Fixtures defined in modules/workflow/workflow-payload.spec.ts</t>
        </is>
      </c>
      <c r="I170" s="16" t="inlineStr">
        <is>
          <t>The test passes: withoutCiphertext removes encrypted values at any depth and keeps everything else.</t>
        </is>
      </c>
      <c r="J170" s="15" t="inlineStr">
        <is>
          <t>Unit</t>
        </is>
      </c>
      <c r="K170" s="16" t="inlineStr">
        <is>
          <t>Automated – modules/workflow/workflow-payload.spec.ts</t>
        </is>
      </c>
      <c r="L170" s="17" t="inlineStr">
        <is>
          <t>Passed</t>
        </is>
      </c>
      <c r="M170" s="16" t="inlineStr">
        <is>
          <t>api-unit-tests.json: 'withoutCiphertext removes encrypted values at any depth and keeps everything else' passed (2 Oct 2026 14:55 UTC); test-reruns.json: passed (2 Oct 2026 21:45 UTC)</t>
        </is>
      </c>
      <c r="N170" s="16" t="inlineStr">
        <is>
          <t>2 Oct 2026 21:45 UTC</t>
        </is>
      </c>
      <c r="O170" s="16" t="inlineStr">
        <is>
          <t>iorta QA (Vitest)</t>
        </is>
      </c>
      <c r="P170" s="16" t="inlineStr"/>
    </row>
    <row r="171">
      <c r="A171" s="15" t="inlineStr">
        <is>
          <t>CS-0170</t>
        </is>
      </c>
      <c r="B171" s="15" t="inlineStr">
        <is>
          <t>TS-25</t>
        </is>
      </c>
      <c r="C171" s="15" t="inlineStr">
        <is>
          <t>TC-086</t>
        </is>
      </c>
      <c r="D171" s="15" t="inlineStr">
        <is>
          <t>WFL</t>
        </is>
      </c>
      <c r="E171" s="16" t="inlineStr">
        <is>
          <t>Approval request view never contains ciphertext</t>
        </is>
      </c>
      <c r="F171" s="16" t="inlineStr">
        <is>
          <t>ops.checker</t>
        </is>
      </c>
      <c r="G171" s="16" t="inlineStr">
        <is>
          <t>1. As ops.checker GET /api/v1/backoffice/approvals/{id}</t>
        </is>
      </c>
      <c r="H171" s="16" t="inlineStr">
        <is>
          <t>Endorsement of EX-060</t>
        </is>
      </c>
      <c r="I171" s="16" t="inlineStr">
        <is>
          <t>GET approvals/{id} returns the nominees with masked ID numbers and no idNumberEnc</t>
        </is>
      </c>
      <c r="J171" s="15" t="inlineStr">
        <is>
          <t>API</t>
        </is>
      </c>
      <c r="K171" s="16" t="inlineStr">
        <is>
          <t>Executed – API run (tools/testing/api-test-run.mjs)</t>
        </is>
      </c>
      <c r="L171" s="17" t="inlineStr">
        <is>
          <t>Passed</t>
        </is>
      </c>
      <c r="M171" s="16" t="inlineStr">
        <is>
          <t>api-test-run.json EX-061: GET /api/v1/backoffice/approvals/c844812b-ba22-49bb-9b4c-2bc58c91b1e6 → 200 contains idNumberEnc=false masked=true</t>
        </is>
      </c>
      <c r="N171" s="16" t="inlineStr">
        <is>
          <t>2 Oct 2026 22:13 UTC</t>
        </is>
      </c>
      <c r="O171" s="16" t="inlineStr">
        <is>
          <t>iorta TechNXT QA (API run)</t>
        </is>
      </c>
      <c r="P171" s="16" t="inlineStr"/>
    </row>
    <row r="172">
      <c r="A172" s="15" t="inlineStr">
        <is>
          <t>CS-0171</t>
        </is>
      </c>
      <c r="B172" s="15" t="inlineStr">
        <is>
          <t>TS-25</t>
        </is>
      </c>
      <c r="C172" s="15" t="inlineStr">
        <is>
          <t>TC-087</t>
        </is>
      </c>
      <c r="D172" s="15" t="inlineStr">
        <is>
          <t>WFL</t>
        </is>
      </c>
      <c r="E172" s="16" t="inlineStr">
        <is>
          <t>Approval request views</t>
        </is>
      </c>
      <c r="F172" s="16" t="inlineStr">
        <is>
          <t>ops.checker, underwriter</t>
        </is>
      </c>
      <c r="G172" s="16" t="inlineStr">
        <is>
          <t>1. Open Approvals (all)
2. Open a participant update, an agent registration and a referral</t>
        </is>
      </c>
      <c r="H172" s="16" t="inlineStr">
        <is>
          <t>Pending requests</t>
        </is>
      </c>
      <c r="I172" s="16" t="inlineStr">
        <is>
          <t>Payload shown with before/after; actions and history</t>
        </is>
      </c>
      <c r="J172" s="15" t="inlineStr">
        <is>
          <t>UI</t>
        </is>
      </c>
      <c r="K172" s="16" t="inlineStr">
        <is>
          <t>Manual (exploratory)</t>
        </is>
      </c>
      <c r="L172" s="17" t="inlineStr">
        <is>
          <t>Passed</t>
        </is>
      </c>
      <c r="M172" s="16" t="inlineStr">
        <is>
          <t>Screens: b-bo-approvals-all.png, b-bo-approval-participant.png, b-bo-approval-referral.png, b-flow-reject-validation.png, b-flow-rejected.png (evidence/ui-screens)</t>
        </is>
      </c>
      <c r="N172" s="16" t="inlineStr">
        <is>
          <t>2 Oct 2026</t>
        </is>
      </c>
      <c r="O172" s="16" t="inlineStr">
        <is>
          <t>iorta QA (manual, exploratory)</t>
        </is>
      </c>
      <c r="P172" s="16" t="inlineStr"/>
    </row>
    <row r="173">
      <c r="A173" s="15" t="inlineStr">
        <is>
          <t>CS-0172</t>
        </is>
      </c>
      <c r="B173" s="15" t="inlineStr">
        <is>
          <t>TS-26</t>
        </is>
      </c>
      <c r="C173" s="15" t="inlineStr">
        <is>
          <t>TC-088</t>
        </is>
      </c>
      <c r="D173" s="15" t="inlineStr">
        <is>
          <t>WFL</t>
        </is>
      </c>
      <c r="E173" s="16" t="inlineStr">
        <is>
          <t>Rejection remarks are visible to the maker in the request list</t>
        </is>
      </c>
      <c r="F173" s="16" t="inlineStr">
        <is>
          <t>ag-000001</t>
        </is>
      </c>
      <c r="G173" s="16" t="inlineStr">
        <is>
          <t>1. GET /api/v1/portal/requests?status=REJECTED
2. GET /api/v1/portal/requests/{id}</t>
        </is>
      </c>
      <c r="H173" s="16" t="inlineStr">
        <is>
          <t>Cancellation of EX-063</t>
        </is>
      </c>
      <c r="I173" s="16" t="inlineStr">
        <is>
          <t>GET /portal/requests/{id} shows status REJECTED with the remarks</t>
        </is>
      </c>
      <c r="J173" s="15" t="inlineStr">
        <is>
          <t>API</t>
        </is>
      </c>
      <c r="K173" s="16" t="inlineStr">
        <is>
          <t>Executed – API run (tools/testing/api-test-run.mjs)</t>
        </is>
      </c>
      <c r="L173" s="17" t="inlineStr">
        <is>
          <t>Passed</t>
        </is>
      </c>
      <c r="M173" s="16" t="inlineStr">
        <is>
          <t>api-test-run.json EX-064: GET /api/v1/portal/requests?status=REJECTED; GET /api/v1/portal/requests/{id} → 200 REJECTED remarks=Participant withdrew the request</t>
        </is>
      </c>
      <c r="N173" s="16" t="inlineStr">
        <is>
          <t>2 Oct 2026 22:13 UTC</t>
        </is>
      </c>
      <c r="O173" s="16" t="inlineStr">
        <is>
          <t>iorta TechNXT QA (API run)</t>
        </is>
      </c>
      <c r="P173" s="16" t="inlineStr"/>
    </row>
    <row r="174">
      <c r="A174" s="15" t="inlineStr">
        <is>
          <t>CS-0173</t>
        </is>
      </c>
      <c r="B174" s="15" t="inlineStr">
        <is>
          <t>TS-27</t>
        </is>
      </c>
      <c r="C174" s="15" t="inlineStr">
        <is>
          <t>TC-089</t>
        </is>
      </c>
      <c r="D174" s="15" t="inlineStr">
        <is>
          <t>POL</t>
        </is>
      </c>
      <c r="E174" s="16" t="inlineStr">
        <is>
          <t>Policy search filters by status and treats injection text as plain text</t>
        </is>
      </c>
      <c r="F174" s="16" t="inlineStr">
        <is>
          <t>ag-000001</t>
        </is>
      </c>
      <c r="G174" s="16" t="inlineStr">
        <is>
          <t>1. GET /api/v1/portal/policies?status=ACTIVE
2. GET ?search=' OR 1=1; DROP TABLE policy; --
3. GET ?search=&lt;policyNo&gt;</t>
        </is>
      </c>
      <c r="H174" s="16" t="inlineStr">
        <is>
          <t>Agent's own policies</t>
        </is>
      </c>
      <c r="I174" s="16" t="inlineStr">
        <is>
          <t>status=ACTIVE returns only active policies; search with SQL text returns 200 and an empty list</t>
        </is>
      </c>
      <c r="J174" s="15" t="inlineStr">
        <is>
          <t>API</t>
        </is>
      </c>
      <c r="K174" s="16" t="inlineStr">
        <is>
          <t>Executed – API run (tools/testing/api-test-run.mjs)</t>
        </is>
      </c>
      <c r="L174" s="17" t="inlineStr">
        <is>
          <t>Passed</t>
        </is>
      </c>
      <c r="M174" s="16" t="inlineStr">
        <is>
          <t>api-test-run.json EX-048: GET /api/v1/portal/policies?status=ACTIVE; ?search=&lt;SQL&gt;; ?search=&lt;policyNo&gt; → 200 onlyActive=true | 200 items=0 | byNo items=1</t>
        </is>
      </c>
      <c r="N174" s="16" t="inlineStr">
        <is>
          <t>2 Oct 2026 22:13 UTC</t>
        </is>
      </c>
      <c r="O174" s="16" t="inlineStr">
        <is>
          <t>iorta TechNXT QA (API run)</t>
        </is>
      </c>
      <c r="P174" s="16" t="inlineStr"/>
    </row>
    <row r="175">
      <c r="A175" s="15" t="inlineStr">
        <is>
          <t>CS-0174</t>
        </is>
      </c>
      <c r="B175" s="15" t="inlineStr">
        <is>
          <t>TS-27</t>
        </is>
      </c>
      <c r="C175" s="15" t="inlineStr">
        <is>
          <t>TC-089</t>
        </is>
      </c>
      <c r="D175" s="15" t="inlineStr">
        <is>
          <t>POL</t>
        </is>
      </c>
      <c r="E175" s="16" t="inlineStr">
        <is>
          <t>Policy list with statuses and search</t>
        </is>
      </c>
      <c r="F175" s="16" t="inlineStr">
        <is>
          <t>ag-000001</t>
        </is>
      </c>
      <c r="G175" s="16" t="inlineStr">
        <is>
          <t>1. Open Quotations &amp; policies
2. Filter by status
3. Search</t>
        </is>
      </c>
      <c r="H175" s="16" t="inlineStr">
        <is>
          <t>Mixed statuses</t>
        </is>
      </c>
      <c r="I175" s="16" t="inlineStr">
        <is>
          <t>List shows Draft, Pending payment, Active with tags; filters apply</t>
        </is>
      </c>
      <c r="J175" s="15" t="inlineStr">
        <is>
          <t>UI</t>
        </is>
      </c>
      <c r="K175" s="16" t="inlineStr">
        <is>
          <t>Manual (exploratory)</t>
        </is>
      </c>
      <c r="L175" s="17" t="inlineStr">
        <is>
          <t>Passed</t>
        </is>
      </c>
      <c r="M175" s="16" t="inlineStr">
        <is>
          <t>Screens: a-policies.png, ui-portal-policies.png, a-policy-draft.png, a-policy-pending.png (evidence/ui-screens)</t>
        </is>
      </c>
      <c r="N175" s="16" t="inlineStr">
        <is>
          <t>2 Oct 2026</t>
        </is>
      </c>
      <c r="O175" s="16" t="inlineStr">
        <is>
          <t>iorta QA (manual, exploratory)</t>
        </is>
      </c>
      <c r="P175" s="16" t="inlineStr"/>
    </row>
    <row r="176">
      <c r="A176" s="15" t="inlineStr">
        <is>
          <t>CS-0175</t>
        </is>
      </c>
      <c r="B176" s="15" t="inlineStr">
        <is>
          <t>TS-27</t>
        </is>
      </c>
      <c r="C176" s="15" t="inlineStr">
        <is>
          <t>TC-090</t>
        </is>
      </c>
      <c r="D176" s="15" t="inlineStr">
        <is>
          <t>POL</t>
        </is>
      </c>
      <c r="E176" s="16" t="inlineStr">
        <is>
          <t>Policy history records every step and the approval trail</t>
        </is>
      </c>
      <c r="F176" s="16" t="inlineStr">
        <is>
          <t>ag-000001</t>
        </is>
      </c>
      <c r="G176" s="16" t="inlineStr">
        <is>
          <t>1. Inspect events[] of the policy detail of EX-043</t>
        </is>
      </c>
      <c r="H176" s="16" t="inlineStr">
        <is>
          <t>Policy of EX-043</t>
        </is>
      </c>
      <c r="I176" s="16" t="inlineStr">
        <is>
          <t>Detail shows events SUBMITTED, ISSUED (or PAYMENT_VERIFIED) and the payment verification request</t>
        </is>
      </c>
      <c r="J176" s="15" t="inlineStr">
        <is>
          <t>API</t>
        </is>
      </c>
      <c r="K176" s="16" t="inlineStr">
        <is>
          <t>Executed – API run (tools/testing/api-test-run.mjs)</t>
        </is>
      </c>
      <c r="L176" s="17" t="inlineStr">
        <is>
          <t>Passed</t>
        </is>
      </c>
      <c r="M176" s="16" t="inlineStr">
        <is>
          <t>api-test-run.json EX-045: GET /api/v1/portal/policies/f16fde6b-2488-470c-a7fd-a0d20332c6bb (events) → events=QUOTATION_CREATED,ESIGN_LINK_SENT,PARTICIPANT_SIGNED,SUBMITTED,AWAITING_PAYMENT,PAYMENT_SUBMITTED,PAYMENT_APPLIED,ISSUED; approval history entries=0</t>
        </is>
      </c>
      <c r="N176" s="16" t="inlineStr">
        <is>
          <t>2 Oct 2026 22:13 UTC</t>
        </is>
      </c>
      <c r="O176" s="16" t="inlineStr">
        <is>
          <t>iorta TechNXT QA (API run)</t>
        </is>
      </c>
      <c r="P176" s="16" t="inlineStr"/>
    </row>
    <row r="177">
      <c r="A177" s="15" t="inlineStr">
        <is>
          <t>CS-0176</t>
        </is>
      </c>
      <c r="B177" s="15" t="inlineStr">
        <is>
          <t>TS-27</t>
        </is>
      </c>
      <c r="C177" s="15" t="inlineStr">
        <is>
          <t>TC-090</t>
        </is>
      </c>
      <c r="D177" s="15" t="inlineStr">
        <is>
          <t>POL</t>
        </is>
      </c>
      <c r="E177" s="16" t="inlineStr">
        <is>
          <t>Policy detail: overview, documents, payments, history</t>
        </is>
      </c>
      <c r="F177" s="16" t="inlineStr">
        <is>
          <t>ag-000001</t>
        </is>
      </c>
      <c r="G177" s="16" t="inlineStr">
        <is>
          <t>1. Open an active policy
2. Switch tabs</t>
        </is>
      </c>
      <c r="H177" s="16" t="inlineStr">
        <is>
          <t>Active PRO policy</t>
        </is>
      </c>
      <c r="I177" s="16" t="inlineStr">
        <is>
          <t>Cover, participant, documents (schedule, receipt), payments and history visible</t>
        </is>
      </c>
      <c r="J177" s="15" t="inlineStr">
        <is>
          <t>UI</t>
        </is>
      </c>
      <c r="K177" s="16" t="inlineStr">
        <is>
          <t>Manual (exploratory)</t>
        </is>
      </c>
      <c r="L177" s="17" t="inlineStr">
        <is>
          <t>Passed</t>
        </is>
      </c>
      <c r="M177" s="16" t="inlineStr">
        <is>
          <t>Screens: a-policy-active.png, a-policy-documents.png, a-policy-payments.png, a-policy-history.png (evidence/ui-screens)</t>
        </is>
      </c>
      <c r="N177" s="16" t="inlineStr">
        <is>
          <t>2 Oct 2026</t>
        </is>
      </c>
      <c r="O177" s="16" t="inlineStr">
        <is>
          <t>iorta QA (manual, exploratory)</t>
        </is>
      </c>
      <c r="P177" s="16" t="inlineStr"/>
    </row>
    <row r="178">
      <c r="A178" s="15" t="inlineStr">
        <is>
          <t>CS-0177</t>
        </is>
      </c>
      <c r="B178" s="15" t="inlineStr">
        <is>
          <t>TS-27</t>
        </is>
      </c>
      <c r="C178" s="15" t="inlineStr">
        <is>
          <t>TC-091</t>
        </is>
      </c>
      <c r="D178" s="15" t="inlineStr">
        <is>
          <t>POL</t>
        </is>
      </c>
      <c r="E178" s="16" t="inlineStr">
        <is>
          <t>Back-office policy, participant and payment views</t>
        </is>
      </c>
      <c r="F178" s="16" t="inlineStr">
        <is>
          <t>ops.maker</t>
        </is>
      </c>
      <c r="G178" s="16" t="inlineStr">
        <is>
          <t>1. Open Policies, Participants, Payments
2. Open one record of each</t>
        </is>
      </c>
      <c r="H178" s="16" t="inlineStr">
        <is>
          <t>All agencies</t>
        </is>
      </c>
      <c r="I178" s="16" t="inlineStr">
        <is>
          <t>Cross-agency lists and details; masked identifiers</t>
        </is>
      </c>
      <c r="J178" s="15" t="inlineStr">
        <is>
          <t>UI</t>
        </is>
      </c>
      <c r="K178" s="16" t="inlineStr">
        <is>
          <t>Manual (exploratory)</t>
        </is>
      </c>
      <c r="L178" s="17" t="inlineStr">
        <is>
          <t>Passed</t>
        </is>
      </c>
      <c r="M178" s="16" t="inlineStr">
        <is>
          <t>Screens: a-bo-policies.png, a-bo-policy.png, a-bo-participants.png, a-bo-participant.png, a-bo-payments.png, a-bo-payment.png (evidence/ui-screens)</t>
        </is>
      </c>
      <c r="N178" s="16" t="inlineStr">
        <is>
          <t>2 Oct 2026</t>
        </is>
      </c>
      <c r="O178" s="16" t="inlineStr">
        <is>
          <t>iorta QA (manual, exploratory)</t>
        </is>
      </c>
      <c r="P178" s="16" t="inlineStr"/>
    </row>
    <row r="179">
      <c r="A179" s="15" t="inlineStr">
        <is>
          <t>CS-0178</t>
        </is>
      </c>
      <c r="B179" s="15" t="inlineStr">
        <is>
          <t>TS-28</t>
        </is>
      </c>
      <c r="C179" s="15" t="inlineStr">
        <is>
          <t>TC-092</t>
        </is>
      </c>
      <c r="D179" s="15" t="inlineStr">
        <is>
          <t>POL</t>
        </is>
      </c>
      <c r="E179" s="16" t="inlineStr">
        <is>
          <t>Journey: policy issued ACTIVE/PAID with number, receipt and documents (suite)</t>
        </is>
      </c>
      <c r="F179" s="16" t="inlineStr">
        <is>
          <t>ag-000002, bk-000004, ops.maker, finance, underwriter</t>
        </is>
      </c>
      <c r="G179" s="16" t="inlineStr">
        <is>
          <t>1. Run `npm run test:e2e -w apps/api` (rebuilds the iift_test database from the migrations and seeds)
2. GET /portal/policies/{id}</t>
        </is>
      </c>
      <c r="H179" s="16" t="inlineStr">
        <is>
          <t>After approval</t>
        </is>
      </c>
      <c r="I179" s="16" t="inlineStr">
        <is>
          <t>ACTIVE, PAID, PRO/yy/nnnnnn, 1 receipt, POLICY_SCHEDULE and RECEIPT documents</t>
        </is>
      </c>
      <c r="J179" s="15" t="inlineStr">
        <is>
          <t>E2E</t>
        </is>
      </c>
      <c r="K179" s="16" t="inlineStr">
        <is>
          <t>Automated – apps/api/test/policy-lifecycle.e2e-spec.ts › runs the full Professional Takaful Plan journey with maker-checker payment verification</t>
        </is>
      </c>
      <c r="L179" s="17" t="inlineStr">
        <is>
          <t>Passed</t>
        </is>
      </c>
      <c r="M179" s="16" t="inlineStr">
        <is>
          <t>api-e2e-tests.json: 'Quotation to e-Policy and e-Receipt (FFR03, AP-17..45, BO-16..19) runs the full Professional Takaful Plan journey with maker-checker payment verification' passed (2 Oct 2026 14:55 UTC); test-reruns.json: passed (2 Oct 2026 22:00 UTC)</t>
        </is>
      </c>
      <c r="N179" s="16" t="inlineStr">
        <is>
          <t>2 Oct 2026 22:00 UTC</t>
        </is>
      </c>
      <c r="O179" s="16" t="inlineStr">
        <is>
          <t>iorta QA (Vitest e2e, iift_test database)</t>
        </is>
      </c>
      <c r="P179" s="16" t="inlineStr"/>
    </row>
    <row r="180">
      <c r="A180" s="15" t="inlineStr">
        <is>
          <t>CS-0179</t>
        </is>
      </c>
      <c r="B180" s="15" t="inlineStr">
        <is>
          <t>TS-28</t>
        </is>
      </c>
      <c r="C180" s="15" t="inlineStr">
        <is>
          <t>TC-093</t>
        </is>
      </c>
      <c r="D180" s="15" t="inlineStr">
        <is>
          <t>POL</t>
        </is>
      </c>
      <c r="E180" s="16" t="inlineStr">
        <is>
          <t>Policy schedule downloads as a PDF</t>
        </is>
      </c>
      <c r="F180" s="16" t="inlineStr">
        <is>
          <t>ag-000001</t>
        </is>
      </c>
      <c r="G180" s="16" t="inlineStr">
        <is>
          <t>1. GET /api/v1/common/documents/{POLICY_SCHEDULE id}/content</t>
        </is>
      </c>
      <c r="H180" s="16" t="inlineStr">
        <is>
          <t>Policy of EX-043</t>
        </is>
      </c>
      <c r="I180" s="16" t="inlineStr">
        <is>
          <t>HTTP 200, content-type application/pdf, body starts with %PDF-</t>
        </is>
      </c>
      <c r="J180" s="15" t="inlineStr">
        <is>
          <t>API</t>
        </is>
      </c>
      <c r="K180" s="16" t="inlineStr">
        <is>
          <t>Executed – API run (tools/testing/api-test-run.mjs)</t>
        </is>
      </c>
      <c r="L180" s="17" t="inlineStr">
        <is>
          <t>Passed</t>
        </is>
      </c>
      <c r="M180" s="16" t="inlineStr">
        <is>
          <t>api-test-run.json EX-044: GET /api/v1/common/documents/da5a288e-f761-41f8-8f81-b7fafc3f1942/content → 200 application/pdf %PDF-</t>
        </is>
      </c>
      <c r="N180" s="16" t="inlineStr">
        <is>
          <t>2 Oct 2026 22:13 UTC</t>
        </is>
      </c>
      <c r="O180" s="16" t="inlineStr">
        <is>
          <t>iorta TechNXT QA (API run)</t>
        </is>
      </c>
      <c r="P180" s="16" t="inlineStr"/>
    </row>
    <row r="181">
      <c r="A181" s="15" t="inlineStr">
        <is>
          <t>CS-0180</t>
        </is>
      </c>
      <c r="B181" s="15" t="inlineStr">
        <is>
          <t>TS-28</t>
        </is>
      </c>
      <c r="C181" s="15" t="inlineStr">
        <is>
          <t>TC-093</t>
        </is>
      </c>
      <c r="D181" s="15" t="inlineStr">
        <is>
          <t>POL</t>
        </is>
      </c>
      <c r="E181" s="16" t="inlineStr">
        <is>
          <t>Journey: schedule served as PDF (suite)</t>
        </is>
      </c>
      <c r="F181" s="16" t="inlineStr">
        <is>
          <t>ag-000002, bk-000004, ops.maker, finance, underwriter</t>
        </is>
      </c>
      <c r="G181" s="16" t="inlineStr">
        <is>
          <t>1. Run `npm run test:e2e -w apps/api` (rebuilds the iift_test database from the migrations and seeds)
2. GET /common/documents/{schedule}/content</t>
        </is>
      </c>
      <c r="H181" s="16" t="inlineStr">
        <is>
          <t>POLICY_SCHEDULE</t>
        </is>
      </c>
      <c r="I181" s="16" t="inlineStr">
        <is>
          <t>200 application/pdf starting %PDF-</t>
        </is>
      </c>
      <c r="J181" s="15" t="inlineStr">
        <is>
          <t>E2E</t>
        </is>
      </c>
      <c r="K181" s="16" t="inlineStr">
        <is>
          <t>Automated – apps/api/test/policy-lifecycle.e2e-spec.ts › runs the full Professional Takaful Plan journey with maker-checker payment verification</t>
        </is>
      </c>
      <c r="L181" s="17" t="inlineStr">
        <is>
          <t>Passed</t>
        </is>
      </c>
      <c r="M181" s="16" t="inlineStr">
        <is>
          <t>api-e2e-tests.json: 'Quotation to e-Policy and e-Receipt (FFR03, AP-17..45, BO-16..19) runs the full Professional Takaful Plan journey with maker-checker payment verification' passed (2 Oct 2026 14:55 UTC); test-reruns.json: passed (2 Oct 2026 22:00 UTC)</t>
        </is>
      </c>
      <c r="N181" s="16" t="inlineStr">
        <is>
          <t>2 Oct 2026 22:00 UTC</t>
        </is>
      </c>
      <c r="O181" s="16" t="inlineStr">
        <is>
          <t>iorta QA (Vitest e2e, iift_test database)</t>
        </is>
      </c>
      <c r="P181" s="16" t="inlineStr"/>
    </row>
    <row r="182">
      <c r="A182" s="15" t="inlineStr">
        <is>
          <t>CS-0181</t>
        </is>
      </c>
      <c r="B182" s="15" t="inlineStr">
        <is>
          <t>TS-28</t>
        </is>
      </c>
      <c r="C182" s="15" t="inlineStr">
        <is>
          <t>TC-094</t>
        </is>
      </c>
      <c r="D182" s="15" t="inlineStr">
        <is>
          <t>POL</t>
        </is>
      </c>
      <c r="E182" s="16" t="inlineStr">
        <is>
          <t>Policy issuance produced the Core and FIN messages</t>
        </is>
      </c>
      <c r="F182" s="16" t="inlineStr">
        <is>
          <t>finance</t>
        </is>
      </c>
      <c r="G182" s="16" t="inlineStr">
        <is>
          <t>1. GET integration/outbox and filter messages naming the policy or its quotation</t>
        </is>
      </c>
      <c r="H182" s="16" t="inlineStr">
        <is>
          <t>Policy of EX-043</t>
        </is>
      </c>
      <c r="I182" s="16" t="inlineStr">
        <is>
          <t>Outbox contains a POLICY_ISSUED message for the policy and a RECEIPT_POSTED message for its receipt (EX-043)</t>
        </is>
      </c>
      <c r="J182" s="15" t="inlineStr">
        <is>
          <t>API</t>
        </is>
      </c>
      <c r="K182" s="16" t="inlineStr">
        <is>
          <t>Executed – API run (tools/testing/api-test-run.mjs)</t>
        </is>
      </c>
      <c r="L182" s="17" t="inlineStr">
        <is>
          <t>Passed</t>
        </is>
      </c>
      <c r="M182" s="16" t="inlineStr">
        <is>
          <t>api-test-run.json EX-129: GET /api/v1/backoffice/integration/outbox?system=CORE|FINANCE (all pages) → messages for PRO/26/000058/QT/26/000076: CORE:CLAIM_NOTIFIED:SENT, CORE:POLICY_ENDORSED:SENT, CORE:POLICY_ISSUED:SENT, FINANCE:EOD_POSTING:SENT, FINANCE:COMMISSION_ACCRUED:SENT, FINANCE:RECEIPT_POSTED:SENT</t>
        </is>
      </c>
      <c r="N182" s="16" t="inlineStr">
        <is>
          <t>2 Oct 2026 22:14 UTC</t>
        </is>
      </c>
      <c r="O182" s="16" t="inlineStr">
        <is>
          <t>iorta TechNXT QA (API run)</t>
        </is>
      </c>
      <c r="P182" s="16" t="inlineStr"/>
    </row>
    <row r="183">
      <c r="A183" s="15" t="inlineStr">
        <is>
          <t>CS-0182</t>
        </is>
      </c>
      <c r="B183" s="15" t="inlineStr">
        <is>
          <t>TS-28</t>
        </is>
      </c>
      <c r="C183" s="15" t="inlineStr">
        <is>
          <t>TC-094</t>
        </is>
      </c>
      <c r="D183" s="15" t="inlineStr">
        <is>
          <t>POL</t>
        </is>
      </c>
      <c r="E183" s="16" t="inlineStr">
        <is>
          <t>Journey: POLICY_ISSUED and RECEIPT_POSTED queued (suite)</t>
        </is>
      </c>
      <c r="F183" s="16" t="inlineStr">
        <is>
          <t>ag-000002, bk-000004, ops.maker, finance, underwriter</t>
        </is>
      </c>
      <c r="G183" s="16" t="inlineStr">
        <is>
          <t>1. Run `npm run test:e2e -w apps/api` (rebuilds the iift_test database from the migrations and seeds)
2. Read outbox_message for the policy and receipt</t>
        </is>
      </c>
      <c r="H183" s="16" t="inlineStr">
        <is>
          <t>Outbox</t>
        </is>
      </c>
      <c r="I183" s="16" t="inlineStr">
        <is>
          <t>Operations include POLICY_ISSUED and RECEIPT_POSTED</t>
        </is>
      </c>
      <c r="J183" s="15" t="inlineStr">
        <is>
          <t>E2E</t>
        </is>
      </c>
      <c r="K183" s="16" t="inlineStr">
        <is>
          <t>Automated – apps/api/test/policy-lifecycle.e2e-spec.ts › runs the full Professional Takaful Plan journey with maker-checker payment verification</t>
        </is>
      </c>
      <c r="L183" s="17" t="inlineStr">
        <is>
          <t>Passed</t>
        </is>
      </c>
      <c r="M183" s="16" t="inlineStr">
        <is>
          <t>api-e2e-tests.json: 'Quotation to e-Policy and e-Receipt (FFR03, AP-17..45, BO-16..19) runs the full Professional Takaful Plan journey with maker-checker payment verification' passed (2 Oct 2026 14:55 UTC); test-reruns.json: passed (2 Oct 2026 22:00 UTC)</t>
        </is>
      </c>
      <c r="N183" s="16" t="inlineStr">
        <is>
          <t>2 Oct 2026 22:00 UTC</t>
        </is>
      </c>
      <c r="O183" s="16" t="inlineStr">
        <is>
          <t>iorta QA (Vitest e2e, iift_test database)</t>
        </is>
      </c>
      <c r="P183" s="16" t="inlineStr"/>
    </row>
    <row r="184">
      <c r="A184" s="15" t="inlineStr">
        <is>
          <t>CS-0183</t>
        </is>
      </c>
      <c r="B184" s="15" t="inlineStr">
        <is>
          <t>TS-28</t>
        </is>
      </c>
      <c r="C184" s="15" t="inlineStr">
        <is>
          <t>TC-095</t>
        </is>
      </c>
      <c r="D184" s="15" t="inlineStr">
        <is>
          <t>POL</t>
        </is>
      </c>
      <c r="E184" s="16" t="inlineStr">
        <is>
          <t>Documents are e-mailed to the participant; an invalid address is refused</t>
        </is>
      </c>
      <c r="F184" s="16" t="inlineStr">
        <is>
          <t>ag-000001</t>
        </is>
      </c>
      <c r="G184" s="16" t="inlineStr">
        <is>
          <t>1. POST /api/v1/portal/policies/{id}/email-documents with email 'not-an-email'
2. POST with an empty body (participant e-mail used)</t>
        </is>
      </c>
      <c r="H184" s="16" t="inlineStr">
        <is>
          <t>Policy of EX-043</t>
        </is>
      </c>
      <c r="I184" s="16" t="inlineStr">
        <is>
          <t>HTTP 422 EMAIL_REQUIRED for "not-an-email"; 200/201 for a valid address</t>
        </is>
      </c>
      <c r="J184" s="15" t="inlineStr">
        <is>
          <t>API</t>
        </is>
      </c>
      <c r="K184" s="16" t="inlineStr">
        <is>
          <t>Executed – API run (tools/testing/api-test-run.mjs)</t>
        </is>
      </c>
      <c r="L184" s="17" t="inlineStr">
        <is>
          <t>Passed</t>
        </is>
      </c>
      <c r="M184" s="16" t="inlineStr">
        <is>
          <t>api-test-run.json EX-046: POST /api/v1/portal/policies/f16fde6b-2488-470c-a7fd-a0d20332c6bb/email-documents → 422 EMAIL_REQUIRED – A valid e-mail address is required | 200</t>
        </is>
      </c>
      <c r="N184" s="16" t="inlineStr">
        <is>
          <t>2 Oct 2026 22:13 UTC</t>
        </is>
      </c>
      <c r="O184" s="16" t="inlineStr">
        <is>
          <t>iorta TechNXT QA (API run)</t>
        </is>
      </c>
      <c r="P184" s="16" t="inlineStr"/>
    </row>
    <row r="185">
      <c r="A185" s="15" t="inlineStr">
        <is>
          <t>CS-0184</t>
        </is>
      </c>
      <c r="B185" s="15" t="inlineStr">
        <is>
          <t>TS-29</t>
        </is>
      </c>
      <c r="C185" s="15" t="inlineStr">
        <is>
          <t>TC-096</t>
        </is>
      </c>
      <c r="D185" s="15" t="inlineStr">
        <is>
          <t>POL</t>
        </is>
      </c>
      <c r="E185" s="16" t="inlineStr">
        <is>
          <t>Expiry job and renewal notices</t>
        </is>
      </c>
      <c r="F185" s="16" t="inlineStr">
        <is>
          <t>System</t>
        </is>
      </c>
      <c r="G185" s="16" t="inlineStr">
        <is>
          <t>1. Backdate a policy end date
2. Trigger the 00:05 policy-expiry job
3. Check status and notifications</t>
        </is>
      </c>
      <c r="H185" s="16" t="inlineStr">
        <is>
          <t>JOBS_ENABLED=true</t>
        </is>
      </c>
      <c r="I185" s="16" t="inlineStr">
        <is>
          <t>Policy EXPIRED; agent notified; renewal notice within 45 days</t>
        </is>
      </c>
      <c r="J185" s="15" t="inlineStr">
        <is>
          <t>SIT</t>
        </is>
      </c>
      <c r="K185" s="16" t="inlineStr">
        <is>
          <t>Not automated</t>
        </is>
      </c>
      <c r="L185" s="18" t="inlineStr">
        <is>
          <t>Not executed</t>
        </is>
      </c>
      <c r="M185" s="16" t="inlineStr">
        <is>
          <t>Not executed – scheduled job; SIT with job schedule enabled</t>
        </is>
      </c>
      <c r="N185" s="16" t="inlineStr"/>
      <c r="O185" s="16" t="inlineStr"/>
      <c r="P185" s="16" t="inlineStr"/>
    </row>
    <row r="186">
      <c r="A186" s="15" t="inlineStr">
        <is>
          <t>CS-0185</t>
        </is>
      </c>
      <c r="B186" s="15" t="inlineStr">
        <is>
          <t>TS-30</t>
        </is>
      </c>
      <c r="C186" s="15" t="inlineStr">
        <is>
          <t>TC-097</t>
        </is>
      </c>
      <c r="D186" s="15" t="inlineStr">
        <is>
          <t>BIL</t>
        </is>
      </c>
      <c r="E186" s="16" t="inlineStr">
        <is>
          <t>Billing figures reconcile with the policy list</t>
        </is>
      </c>
      <c r="F186" s="16" t="inlineStr">
        <is>
          <t>Bank officer</t>
        </is>
      </c>
      <c r="G186" s="16" t="inlineStr">
        <is>
          <t>1. Compare the dashboard figures with the outstanding list</t>
        </is>
      </c>
      <c r="H186" s="16" t="inlineStr">
        <is>
          <t>Demonstration data</t>
        </is>
      </c>
      <c r="I186" s="16" t="inlineStr">
        <is>
          <t>Outstanding, overdue and due-soon totals equal the list</t>
        </is>
      </c>
      <c r="J186" s="15" t="inlineStr">
        <is>
          <t>UI</t>
        </is>
      </c>
      <c r="K186" s="16" t="inlineStr">
        <is>
          <t>Not automated</t>
        </is>
      </c>
      <c r="L186" s="18" t="inlineStr">
        <is>
          <t>Not executed</t>
        </is>
      </c>
      <c r="M186" s="16" t="inlineStr">
        <is>
          <t>Not executed – UI under restyling; screens captured earlier show the figures</t>
        </is>
      </c>
      <c r="N186" s="16" t="inlineStr"/>
      <c r="O186" s="16" t="inlineStr"/>
      <c r="P186" s="16" t="inlineStr"/>
    </row>
    <row r="187">
      <c r="A187" s="15" t="inlineStr">
        <is>
          <t>CS-0186</t>
        </is>
      </c>
      <c r="B187" s="15" t="inlineStr">
        <is>
          <t>TS-31</t>
        </is>
      </c>
      <c r="C187" s="15" t="inlineStr">
        <is>
          <t>TC-098</t>
        </is>
      </c>
      <c r="D187" s="15" t="inlineStr">
        <is>
          <t>BIL</t>
        </is>
      </c>
      <c r="E187" s="16" t="inlineStr">
        <is>
          <t>Payment rules: future date, missing proof and wrong amount are refused</t>
        </is>
      </c>
      <c r="F187" s="16" t="inlineStr">
        <is>
          <t>ag-000001</t>
        </is>
      </c>
      <c r="G187" s="16" t="inlineStr">
        <is>
          <t>1. POST /api/v1/portal/billing/payments dated in two days
2. POST without a proof file
3. POST with amount 999</t>
        </is>
      </c>
      <c r="H187" s="16" t="inlineStr">
        <is>
          <t>Allocation to the quotation of EX-030 (255.00)</t>
        </is>
      </c>
      <c r="I187" s="16" t="inlineStr">
        <is>
          <t>HTTP 422 INVALID_DATE; 422 PROOF_REQUIRED; 422 INVALID_ALLOCATION</t>
        </is>
      </c>
      <c r="J187" s="15" t="inlineStr">
        <is>
          <t>API</t>
        </is>
      </c>
      <c r="K187" s="16" t="inlineStr">
        <is>
          <t>Executed – API run (tools/testing/api-test-run.mjs)</t>
        </is>
      </c>
      <c r="L187" s="17" t="inlineStr">
        <is>
          <t>Passed</t>
        </is>
      </c>
      <c r="M187" s="16" t="inlineStr">
        <is>
          <t>api-test-run.json EX-040: POST /api/v1/portal/billing/payments (future date; no proof; amount 999) → 422 INVALID_DATE – Payment date cannot be in the future | 422 PROOF_REQUIRED – Please attach the proof of payment | 422 INVALID_ALLOCATION – The payment cannot be accepted [QT/26/000076: amount exceeds the outstanding B$ 255.00]</t>
        </is>
      </c>
      <c r="N187" s="16" t="inlineStr">
        <is>
          <t>2 Oct 2026 22:13 UTC</t>
        </is>
      </c>
      <c r="O187" s="16" t="inlineStr">
        <is>
          <t>iorta TechNXT QA (API run)</t>
        </is>
      </c>
      <c r="P187" s="16" t="inlineStr"/>
    </row>
    <row r="188">
      <c r="A188" s="15" t="inlineStr">
        <is>
          <t>CS-0187</t>
        </is>
      </c>
      <c r="B188" s="15" t="inlineStr">
        <is>
          <t>TS-31</t>
        </is>
      </c>
      <c r="C188" s="15" t="inlineStr">
        <is>
          <t>TC-098</t>
        </is>
      </c>
      <c r="D188" s="15" t="inlineStr">
        <is>
          <t>BIL</t>
        </is>
      </c>
      <c r="E188" s="16" t="inlineStr">
        <is>
          <t>Payment form validation</t>
        </is>
      </c>
      <c r="F188" s="16" t="inlineStr">
        <is>
          <t>bk-000005</t>
        </is>
      </c>
      <c r="G188" s="16" t="inlineStr">
        <is>
          <t>1. Submit the payment form without proof or reference</t>
        </is>
      </c>
      <c r="H188" s="16" t="inlineStr">
        <is>
          <t>Empty form</t>
        </is>
      </c>
      <c r="I188" s="16" t="inlineStr">
        <is>
          <t>Field errors shown; nothing submitted</t>
        </is>
      </c>
      <c r="J188" s="15" t="inlineStr">
        <is>
          <t>UI</t>
        </is>
      </c>
      <c r="K188" s="16" t="inlineStr">
        <is>
          <t>Manual (exploratory)</t>
        </is>
      </c>
      <c r="L188" s="17" t="inlineStr">
        <is>
          <t>Passed</t>
        </is>
      </c>
      <c r="M188" s="16" t="inlineStr">
        <is>
          <t>Screens: a-billing-drawer-error.png (evidence/ui-screens)</t>
        </is>
      </c>
      <c r="N188" s="16" t="inlineStr">
        <is>
          <t>2 Oct 2026</t>
        </is>
      </c>
      <c r="O188" s="16" t="inlineStr">
        <is>
          <t>iorta QA (manual, exploratory)</t>
        </is>
      </c>
      <c r="P188" s="16" t="inlineStr"/>
    </row>
    <row r="189">
      <c r="A189" s="15" t="inlineStr">
        <is>
          <t>CS-0188</t>
        </is>
      </c>
      <c r="B189" s="15" t="inlineStr">
        <is>
          <t>TS-31</t>
        </is>
      </c>
      <c r="C189" s="15" t="inlineStr">
        <is>
          <t>TC-099</t>
        </is>
      </c>
      <c r="D189" s="15" t="inlineStr">
        <is>
          <t>BIL</t>
        </is>
      </c>
      <c r="E189" s="16" t="inlineStr">
        <is>
          <t>Payment with proof is accepted and routed for verification</t>
        </is>
      </c>
      <c r="F189" s="16" t="inlineStr">
        <is>
          <t>ag-000001</t>
        </is>
      </c>
      <c r="G189" s="16" t="inlineStr">
        <is>
          <t>1. POST /api/v1/portal/billing/payments BANK_TRANSFER 255.00 with a PDF proof
2. GET /api/v1/portal/policies/{id}</t>
        </is>
      </c>
      <c r="H189" s="16" t="inlineStr">
        <is>
          <t>referenceNo TRX-&lt;run&gt;</t>
        </is>
      </c>
      <c r="I189" s="16" t="inlineStr">
        <is>
          <t>HTTP 201; status PENDING_VERIFICATION; policy paymentStatus PENDING_VERIFICATION</t>
        </is>
      </c>
      <c r="J189" s="15" t="inlineStr">
        <is>
          <t>API</t>
        </is>
      </c>
      <c r="K189" s="16" t="inlineStr">
        <is>
          <t>Executed – API run (tools/testing/api-test-run.mjs)</t>
        </is>
      </c>
      <c r="L189" s="17" t="inlineStr">
        <is>
          <t>Passed</t>
        </is>
      </c>
      <c r="M189" s="16" t="inlineStr">
        <is>
          <t>api-test-run.json EX-041: POST /api/v1/portal/billing/payments (255.00 with PDF proof) → 201 PENDING_VERIFICATION | policy paymentStatus=PENDING_VERIFICATION</t>
        </is>
      </c>
      <c r="N189" s="16" t="inlineStr">
        <is>
          <t>2 Oct 2026 22:13 UTC</t>
        </is>
      </c>
      <c r="O189" s="16" t="inlineStr">
        <is>
          <t>iorta TechNXT QA (API run)</t>
        </is>
      </c>
      <c r="P189" s="16" t="inlineStr"/>
    </row>
    <row r="190">
      <c r="A190" s="15" t="inlineStr">
        <is>
          <t>CS-0189</t>
        </is>
      </c>
      <c r="B190" s="15" t="inlineStr">
        <is>
          <t>TS-31</t>
        </is>
      </c>
      <c r="C190" s="15" t="inlineStr">
        <is>
          <t>TC-099</t>
        </is>
      </c>
      <c r="D190" s="15" t="inlineStr">
        <is>
          <t>BIL</t>
        </is>
      </c>
      <c r="E190" s="16" t="inlineStr">
        <is>
          <t>Journey: payment with proof pending verification (suite)</t>
        </is>
      </c>
      <c r="F190" s="16" t="inlineStr">
        <is>
          <t>ag-000002, bk-000004, ops.maker, finance, underwriter</t>
        </is>
      </c>
      <c r="G190" s="16" t="inlineStr">
        <is>
          <t>1. Run `npm run test:e2e -w apps/api` (rebuilds the iift_test database from the migrations and seeds)
2. POST /portal/billing/payments 165 with PDF proof</t>
        </is>
      </c>
      <c r="H190" s="16" t="inlineStr">
        <is>
          <t>TRX-E2E-0001</t>
        </is>
      </c>
      <c r="I190" s="16" t="inlineStr">
        <is>
          <t>201 PENDING_VERIFICATION</t>
        </is>
      </c>
      <c r="J190" s="15" t="inlineStr">
        <is>
          <t>E2E</t>
        </is>
      </c>
      <c r="K190" s="16" t="inlineStr">
        <is>
          <t>Automated – apps/api/test/policy-lifecycle.e2e-spec.ts › runs the full Professional Takaful Plan journey with maker-checker payment verification</t>
        </is>
      </c>
      <c r="L190" s="17" t="inlineStr">
        <is>
          <t>Passed</t>
        </is>
      </c>
      <c r="M190" s="16" t="inlineStr">
        <is>
          <t>api-e2e-tests.json: 'Quotation to e-Policy and e-Receipt (FFR03, AP-17..45, BO-16..19) runs the full Professional Takaful Plan journey with maker-checker payment verification' passed (2 Oct 2026 14:55 UTC); test-reruns.json: passed (2 Oct 2026 22:00 UTC)</t>
        </is>
      </c>
      <c r="N190" s="16" t="inlineStr">
        <is>
          <t>2 Oct 2026 22:00 UTC</t>
        </is>
      </c>
      <c r="O190" s="16" t="inlineStr">
        <is>
          <t>iorta QA (Vitest e2e, iift_test database)</t>
        </is>
      </c>
      <c r="P190" s="16" t="inlineStr"/>
    </row>
    <row r="191">
      <c r="A191" s="15" t="inlineStr">
        <is>
          <t>CS-0190</t>
        </is>
      </c>
      <c r="B191" s="15" t="inlineStr">
        <is>
          <t>TS-31</t>
        </is>
      </c>
      <c r="C191" s="15" t="inlineStr">
        <is>
          <t>TC-099</t>
        </is>
      </c>
      <c r="D191" s="15" t="inlineStr">
        <is>
          <t>BIL</t>
        </is>
      </c>
      <c r="E191" s="16" t="inlineStr">
        <is>
          <t>Bulk payment by a bank officer</t>
        </is>
      </c>
      <c r="F191" s="16" t="inlineStr">
        <is>
          <t>bk-000005</t>
        </is>
      </c>
      <c r="G191" s="16" t="inlineStr">
        <is>
          <t>1. Open Billing &amp; payments
2. Select several outstanding policies
3. Submit payment with proof
4. Open the payment</t>
        </is>
      </c>
      <c r="H191" s="16" t="inlineStr">
        <is>
          <t>Bank transfer</t>
        </is>
      </c>
      <c r="I191" s="16" t="inlineStr">
        <is>
          <t>Policies move to Pending verification; payment detail shows allocations</t>
        </is>
      </c>
      <c r="J191" s="15" t="inlineStr">
        <is>
          <t>UI</t>
        </is>
      </c>
      <c r="K191" s="16" t="inlineStr">
        <is>
          <t>Manual (exploratory)</t>
        </is>
      </c>
      <c r="L191" s="17" t="inlineStr">
        <is>
          <t>Passed</t>
        </is>
      </c>
      <c r="M191" s="16" t="inlineStr">
        <is>
          <t>Screens: a-billing.png, a-billing-drawer.png, a-billing-submitted.png, a-payment.png (evidence/ui-screens)</t>
        </is>
      </c>
      <c r="N191" s="16" t="inlineStr">
        <is>
          <t>2 Oct 2026</t>
        </is>
      </c>
      <c r="O191" s="16" t="inlineStr">
        <is>
          <t>iorta QA (manual, exploratory)</t>
        </is>
      </c>
      <c r="P191" s="16" t="inlineStr"/>
    </row>
    <row r="192">
      <c r="A192" s="15" t="inlineStr">
        <is>
          <t>CS-0191</t>
        </is>
      </c>
      <c r="B192" s="15" t="inlineStr">
        <is>
          <t>TS-31</t>
        </is>
      </c>
      <c r="C192" s="15" t="inlineStr">
        <is>
          <t>TC-100</t>
        </is>
      </c>
      <c r="D192" s="15" t="inlineStr">
        <is>
          <t>BIL</t>
        </is>
      </c>
      <c r="E192" s="16" t="inlineStr">
        <is>
          <t>Only Finance can verify a payment; rejection needs remarks</t>
        </is>
      </c>
      <c r="F192" s="16" t="inlineStr">
        <is>
          <t>ops.maker, finance</t>
        </is>
      </c>
      <c r="G192" s="16" t="inlineStr">
        <is>
          <t>1. As finance GET /api/v1/backoffice/approvals/inbox
2. As ops.maker POST approvals/{id}/approve
3. As finance POST approvals/{id}/reject with empty remarks</t>
        </is>
      </c>
      <c r="H192" s="16" t="inlineStr">
        <is>
          <t>PAYMENT_VERIFICATION request of EX-041</t>
        </is>
      </c>
      <c r="I192" s="16" t="inlineStr">
        <is>
          <t>ops.maker approve → 403; finance reject with empty remarks → 400; request is in the Finance inbox</t>
        </is>
      </c>
      <c r="J192" s="15" t="inlineStr">
        <is>
          <t>API</t>
        </is>
      </c>
      <c r="K192" s="16" t="inlineStr">
        <is>
          <t>Executed – API run (tools/testing/api-test-run.mjs)</t>
        </is>
      </c>
      <c r="L192" s="17" t="inlineStr">
        <is>
          <t>Passed</t>
        </is>
      </c>
      <c r="M192" s="16" t="inlineStr">
        <is>
          <t>api-test-run.json EX-042: GET /api/v1/backoffice/approvals/inbox; POST approvals/06506b00-9ead-447a-93ae-f9605166189c/approve (ops.maker); POST reject (finance, empty remarks) → inbox has request: true | 403 FORBIDDEN – You are not an approver for this step | 400 BAD_REQUEST – Some fields are invalid [remarks must be longer than or equal to 3 characters]</t>
        </is>
      </c>
      <c r="N192" s="16" t="inlineStr">
        <is>
          <t>2 Oct 2026 22:13 UTC</t>
        </is>
      </c>
      <c r="O192" s="16" t="inlineStr">
        <is>
          <t>iorta TechNXT QA (API run)</t>
        </is>
      </c>
      <c r="P192" s="16" t="inlineStr"/>
    </row>
    <row r="193">
      <c r="A193" s="15" t="inlineStr">
        <is>
          <t>CS-0192</t>
        </is>
      </c>
      <c r="B193" s="15" t="inlineStr">
        <is>
          <t>TS-31</t>
        </is>
      </c>
      <c r="C193" s="15" t="inlineStr">
        <is>
          <t>TC-100</t>
        </is>
      </c>
      <c r="D193" s="15" t="inlineStr">
        <is>
          <t>BIL</t>
        </is>
      </c>
      <c r="E193" s="16" t="inlineStr">
        <is>
          <t>Journey: only Finance verifies; rejection needs remarks (suite)</t>
        </is>
      </c>
      <c r="F193" s="16" t="inlineStr">
        <is>
          <t>ag-000002, bk-000004, ops.maker, finance, underwriter</t>
        </is>
      </c>
      <c r="G193" s="16" t="inlineStr">
        <is>
          <t>1. Run `npm run test:e2e -w apps/api` (rebuilds the iift_test database from the migrations and seeds)
2. ops.maker approve; finance inbox; finance reject with empty remarks; finance approve</t>
        </is>
      </c>
      <c r="H193" s="16" t="inlineStr">
        <is>
          <t>PAYMENT_VERIFICATION</t>
        </is>
      </c>
      <c r="I193" s="16" t="inlineStr">
        <is>
          <t>403; inbox contains the request; 400; 200</t>
        </is>
      </c>
      <c r="J193" s="15" t="inlineStr">
        <is>
          <t>E2E</t>
        </is>
      </c>
      <c r="K193" s="16" t="inlineStr">
        <is>
          <t>Automated – apps/api/test/policy-lifecycle.e2e-spec.ts › runs the full Professional Takaful Plan journey with maker-checker payment verification</t>
        </is>
      </c>
      <c r="L193" s="17" t="inlineStr">
        <is>
          <t>Passed</t>
        </is>
      </c>
      <c r="M193" s="16" t="inlineStr">
        <is>
          <t>api-e2e-tests.json: 'Quotation to e-Policy and e-Receipt (FFR03, AP-17..45, BO-16..19) runs the full Professional Takaful Plan journey with maker-checker payment verification' passed (2 Oct 2026 14:55 UTC); test-reruns.json: passed (2 Oct 2026 22:00 UTC)</t>
        </is>
      </c>
      <c r="N193" s="16" t="inlineStr">
        <is>
          <t>2 Oct 2026 22:00 UTC</t>
        </is>
      </c>
      <c r="O193" s="16" t="inlineStr">
        <is>
          <t>iorta QA (Vitest e2e, iift_test database)</t>
        </is>
      </c>
      <c r="P193" s="16" t="inlineStr"/>
    </row>
    <row r="194">
      <c r="A194" s="15" t="inlineStr">
        <is>
          <t>CS-0193</t>
        </is>
      </c>
      <c r="B194" s="15" t="inlineStr">
        <is>
          <t>TS-31</t>
        </is>
      </c>
      <c r="C194" s="15" t="inlineStr">
        <is>
          <t>TC-100</t>
        </is>
      </c>
      <c r="D194" s="15" t="inlineStr">
        <is>
          <t>BIL</t>
        </is>
      </c>
      <c r="E194" s="16" t="inlineStr">
        <is>
          <t>Finance verifies a payment from the approvals inbox</t>
        </is>
      </c>
      <c r="F194" s="16" t="inlineStr">
        <is>
          <t>finance</t>
        </is>
      </c>
      <c r="G194" s="16" t="inlineStr">
        <is>
          <t>1. Open Approvals
2. Open the payment request
3. Approve with remarks</t>
        </is>
      </c>
      <c r="H194" s="16" t="inlineStr">
        <is>
          <t>Pending payment</t>
        </is>
      </c>
      <c r="I194" s="16" t="inlineStr">
        <is>
          <t>Request approved; policy issued</t>
        </is>
      </c>
      <c r="J194" s="15" t="inlineStr">
        <is>
          <t>UI</t>
        </is>
      </c>
      <c r="K194" s="16" t="inlineStr">
        <is>
          <t>Manual (exploratory)</t>
        </is>
      </c>
      <c r="L194" s="17" t="inlineStr">
        <is>
          <t>Passed</t>
        </is>
      </c>
      <c r="M194" s="16" t="inlineStr">
        <is>
          <t>Screens: ui-approvals-inbox.png, ui-approval-payment.png, b-flow-approve-modal.png, b-flow-approved.png (evidence/ui-screens)</t>
        </is>
      </c>
      <c r="N194" s="16" t="inlineStr">
        <is>
          <t>2 Oct 2026</t>
        </is>
      </c>
      <c r="O194" s="16" t="inlineStr">
        <is>
          <t>iorta QA (manual, exploratory)</t>
        </is>
      </c>
      <c r="P194" s="16" t="inlineStr"/>
    </row>
    <row r="195">
      <c r="A195" s="15" t="inlineStr">
        <is>
          <t>CS-0194</t>
        </is>
      </c>
      <c r="B195" s="15" t="inlineStr">
        <is>
          <t>TS-31</t>
        </is>
      </c>
      <c r="C195" s="15" t="inlineStr">
        <is>
          <t>TC-101</t>
        </is>
      </c>
      <c r="D195" s="15" t="inlineStr">
        <is>
          <t>BIL</t>
        </is>
      </c>
      <c r="E195" s="16" t="inlineStr">
        <is>
          <t>Finance verifies the payment: policy issued with e-Policy, e-Receipt and FIN messages</t>
        </is>
      </c>
      <c r="F195" s="16" t="inlineStr">
        <is>
          <t>finance</t>
        </is>
      </c>
      <c r="G195" s="16" t="inlineStr">
        <is>
          <t>1. As finance POST approvals/{id}/approve with remarks
2. GET /api/v1/portal/policies/{id}</t>
        </is>
      </c>
      <c r="H195" s="16" t="inlineStr">
        <is>
          <t>Request of EX-042</t>
        </is>
      </c>
      <c r="I195" s="16" t="inlineStr">
        <is>
          <t>HTTP 200; policy ACTIVE and PAID; policyNo PRO/yy/nnnnnn; one receipt; POLICY_SCHEDULE and RECEIPT documents</t>
        </is>
      </c>
      <c r="J195" s="15" t="inlineStr">
        <is>
          <t>API</t>
        </is>
      </c>
      <c r="K195" s="16" t="inlineStr">
        <is>
          <t>Executed – API run (tools/testing/api-test-run.mjs)</t>
        </is>
      </c>
      <c r="L195" s="17" t="inlineStr">
        <is>
          <t>Passed</t>
        </is>
      </c>
      <c r="M195" s="16" t="inlineStr">
        <is>
          <t>api-test-run.json EX-043: POST /api/v1/backoffice/approvals/06506b00-9ead-447a-93ae-f9605166189c/approve; GET /api/v1/portal/policies/f16fde6b-2488-470c-a7fd-a0d20332c6bb → 200 | ACTIVE PAID PRO/26/000058 receipts=1 docs=POLICY_SCHEDULE,RECEIPT,SIGNATURE_PARTICIPANT,NOMINEE_IC,IC_COPY</t>
        </is>
      </c>
      <c r="N195" s="16" t="inlineStr">
        <is>
          <t>2 Oct 2026 22:13 UTC</t>
        </is>
      </c>
      <c r="O195" s="16" t="inlineStr">
        <is>
          <t>iorta TechNXT QA (API run)</t>
        </is>
      </c>
      <c r="P195" s="16" t="inlineStr"/>
    </row>
    <row r="196">
      <c r="A196" s="15" t="inlineStr">
        <is>
          <t>CS-0195</t>
        </is>
      </c>
      <c r="B196" s="15" t="inlineStr">
        <is>
          <t>TS-31</t>
        </is>
      </c>
      <c r="C196" s="15" t="inlineStr">
        <is>
          <t>TC-102</t>
        </is>
      </c>
      <c r="D196" s="15" t="inlineStr">
        <is>
          <t>BIL</t>
        </is>
      </c>
      <c r="E196" s="16" t="inlineStr">
        <is>
          <t>SEC-20 (OWASP A04): Negative, future-dated and excessive payments are refused</t>
        </is>
      </c>
      <c r="F196" s="16" t="inlineStr">
        <is>
          <t>Security tester</t>
        </is>
      </c>
      <c r="G196" s="16" t="inlineStr">
        <is>
          <t>1. Run `node tools/security/security-checks.mjs` against a fresh non-production instance with demonstration data
2. Read the result of SEC-20</t>
        </is>
      </c>
      <c r="H196" s="16" t="inlineStr">
        <is>
          <t>Demonstration users and records; crafted payloads as described in the script</t>
        </is>
      </c>
      <c r="I196" s="16" t="inlineStr">
        <is>
          <t>Negative, future-dated and excessive amounts refused</t>
        </is>
      </c>
      <c r="J196" s="15" t="inlineStr">
        <is>
          <t>Security</t>
        </is>
      </c>
      <c r="K196" s="16" t="inlineStr">
        <is>
          <t>Automated – tools/security/security-checks.mjs</t>
        </is>
      </c>
      <c r="L196" s="17" t="inlineStr">
        <is>
          <t>Passed</t>
        </is>
      </c>
      <c r="M196" s="16" t="inlineStr">
        <is>
          <t>security-checks.json: SEC-20 PASS (2 Oct 2026 14:57 UTC); evidence summarised in the Security Assessment Report</t>
        </is>
      </c>
      <c r="N196" s="16" t="inlineStr">
        <is>
          <t>2 Oct 2026 14:57 UTC</t>
        </is>
      </c>
      <c r="O196" s="16" t="inlineStr">
        <is>
          <t>iorta QA (security-checks.mjs)</t>
        </is>
      </c>
      <c r="P196" s="16" t="inlineStr"/>
    </row>
    <row r="197">
      <c r="A197" s="15" t="inlineStr">
        <is>
          <t>CS-0196</t>
        </is>
      </c>
      <c r="B197" s="15" t="inlineStr">
        <is>
          <t>TS-32</t>
        </is>
      </c>
      <c r="C197" s="15" t="inlineStr">
        <is>
          <t>TC-103</t>
        </is>
      </c>
      <c r="D197" s="15" t="inlineStr">
        <is>
          <t>BIL</t>
        </is>
      </c>
      <c r="E197" s="16" t="inlineStr">
        <is>
          <t>Underwriter approves: financing policy issued immediately with a payment due date (grace period)</t>
        </is>
      </c>
      <c r="F197" s="16" t="inlineStr">
        <is>
          <t>underwriter</t>
        </is>
      </c>
      <c r="G197" s="16" t="inlineStr">
        <is>
          <t>1. As underwriter POST approvals/{id}/approve with remarks
2. GET /api/v1/portal/policies/{id}</t>
        </is>
      </c>
      <c r="H197" s="16" t="inlineStr">
        <is>
          <t>billing.payment_grace_days = 7</t>
        </is>
      </c>
      <c r="I197" s="16" t="inlineStr">
        <is>
          <t>HTTP 200; policy ACTIVE, paymentStatus UNPAID, paymentDueDate = today + 7 days, policyNo FTP-HP/yy/nnnnnn</t>
        </is>
      </c>
      <c r="J197" s="15" t="inlineStr">
        <is>
          <t>API</t>
        </is>
      </c>
      <c r="K197" s="16" t="inlineStr">
        <is>
          <t>Executed – API run (tools/testing/api-test-run.mjs)</t>
        </is>
      </c>
      <c r="L197" s="17" t="inlineStr">
        <is>
          <t>Passed</t>
        </is>
      </c>
      <c r="M197" s="16" t="inlineStr">
        <is>
          <t>api-test-run.json EX-052: POST /api/v1/backoffice/approvals/48e501c3-f7bf-4a6d-ad54-1e15e6a4e63b/approve → 200 | ACTIVE UNPAID FTP-HP/26/000059 due=2026-10-10</t>
        </is>
      </c>
      <c r="N197" s="16" t="inlineStr">
        <is>
          <t>2 Oct 2026 22:13 UTC</t>
        </is>
      </c>
      <c r="O197" s="16" t="inlineStr">
        <is>
          <t>iorta TechNXT QA (API run)</t>
        </is>
      </c>
      <c r="P197" s="16" t="inlineStr"/>
    </row>
    <row r="198">
      <c r="A198" s="15" t="inlineStr">
        <is>
          <t>CS-0197</t>
        </is>
      </c>
      <c r="B198" s="15" t="inlineStr">
        <is>
          <t>TS-32</t>
        </is>
      </c>
      <c r="C198" s="15" t="inlineStr">
        <is>
          <t>TC-104</t>
        </is>
      </c>
      <c r="D198" s="15" t="inlineStr">
        <is>
          <t>BIL</t>
        </is>
      </c>
      <c r="E198" s="16" t="inlineStr">
        <is>
          <t>Grace-period job blocks and unblocks an agency</t>
        </is>
      </c>
      <c r="F198" s="16" t="inlineStr">
        <is>
          <t>System, bank officer</t>
        </is>
      </c>
      <c r="G198" s="16" t="inlineStr">
        <is>
          <t>1. Issue a financing policy; leave unpaid 8 days
2. Run the 01:00 grace-period job
3. Pay; run the job again</t>
        </is>
      </c>
      <c r="H198" s="16" t="inlineStr">
        <is>
          <t>billing.payment_grace_days = 7</t>
        </is>
      </c>
      <c r="I198" s="16" t="inlineStr">
        <is>
          <t>Agency blocked with reason and notification; unblocked after payment</t>
        </is>
      </c>
      <c r="J198" s="15" t="inlineStr">
        <is>
          <t>SIT</t>
        </is>
      </c>
      <c r="K198" s="16" t="inlineStr">
        <is>
          <t>Not automated</t>
        </is>
      </c>
      <c r="L198" s="18" t="inlineStr">
        <is>
          <t>Not executed</t>
        </is>
      </c>
      <c r="M198" s="16" t="inlineStr">
        <is>
          <t>Not executed – date-driven job; seeded state verified through EX-054 and the suite</t>
        </is>
      </c>
      <c r="N198" s="16" t="inlineStr"/>
      <c r="O198" s="16" t="inlineStr"/>
      <c r="P198" s="16" t="inlineStr"/>
    </row>
    <row r="199">
      <c r="A199" s="15" t="inlineStr">
        <is>
          <t>CS-0198</t>
        </is>
      </c>
      <c r="B199" s="15" t="inlineStr">
        <is>
          <t>TS-32</t>
        </is>
      </c>
      <c r="C199" s="15" t="inlineStr">
        <is>
          <t>TC-105</t>
        </is>
      </c>
      <c r="D199" s="15" t="inlineStr">
        <is>
          <t>BIL</t>
        </is>
      </c>
      <c r="E199" s="16" t="inlineStr">
        <is>
          <t>Blocked bank cannot submit new business (suite)</t>
        </is>
      </c>
      <c r="F199" s="16" t="inlineStr">
        <is>
          <t>ag-000002, bk-000004, ops.maker, finance, underwriter</t>
        </is>
      </c>
      <c r="G199" s="16" t="inlineStr">
        <is>
          <t>1. Run `npm run test:e2e -w apps/api` (rebuilds the iift_test database from the migrations and seeds)
2. bk-000004 submits an FTP-NP quotation</t>
        </is>
      </c>
      <c r="H199" s="16" t="inlineStr">
        <is>
          <t>BNK-MIB blocked</t>
        </is>
      </c>
      <c r="I199" s="16" t="inlineStr">
        <is>
          <t>422 AGENCY_BLOCKED</t>
        </is>
      </c>
      <c r="J199" s="15" t="inlineStr">
        <is>
          <t>E2E</t>
        </is>
      </c>
      <c r="K199" s="16" t="inlineStr">
        <is>
          <t>Automated – apps/api/test/policy-lifecycle.e2e-spec.ts › blocks new business for an agency with overdue contributions (AP-42)</t>
        </is>
      </c>
      <c r="L199" s="17" t="inlineStr">
        <is>
          <t>Passed</t>
        </is>
      </c>
      <c r="M199" s="16" t="inlineStr">
        <is>
          <t>api-e2e-tests.json: 'Quotation to e-Policy and e-Receipt (FFR03, AP-17..45, BO-16..19) blocks new business for an agency with overdue contributions (AP-42)' passed (2 Oct 2026 14:55 UTC); test-reruns.json: passed (2 Oct 2026 22:00 UTC)</t>
        </is>
      </c>
      <c r="N199" s="16" t="inlineStr">
        <is>
          <t>2 Oct 2026 22:00 UTC</t>
        </is>
      </c>
      <c r="O199" s="16" t="inlineStr">
        <is>
          <t>iorta QA (Vitest e2e, iift_test database)</t>
        </is>
      </c>
      <c r="P199" s="16" t="inlineStr"/>
    </row>
    <row r="200">
      <c r="A200" s="15" t="inlineStr">
        <is>
          <t>CS-0199</t>
        </is>
      </c>
      <c r="B200" s="15" t="inlineStr">
        <is>
          <t>TS-32</t>
        </is>
      </c>
      <c r="C200" s="15" t="inlineStr">
        <is>
          <t>TC-105</t>
        </is>
      </c>
      <c r="D200" s="15" t="inlineStr">
        <is>
          <t>BIL</t>
        </is>
      </c>
      <c r="E200" s="16" t="inlineStr">
        <is>
          <t>Blocked bank officer sees the block</t>
        </is>
      </c>
      <c r="F200" s="16" t="inlineStr">
        <is>
          <t>bk-000004</t>
        </is>
      </c>
      <c r="G200" s="16" t="inlineStr">
        <is>
          <t>1. Sign in as bk-000004
2. Open Billing &amp; payments</t>
        </is>
      </c>
      <c r="H200" s="16" t="inlineStr">
        <is>
          <t>Blocked bank</t>
        </is>
      </c>
      <c r="I200" s="16" t="inlineStr">
        <is>
          <t>Block notice with the overdue reason; new business disabled</t>
        </is>
      </c>
      <c r="J200" s="15" t="inlineStr">
        <is>
          <t>UI</t>
        </is>
      </c>
      <c r="K200" s="16" t="inlineStr">
        <is>
          <t>Manual (exploratory)</t>
        </is>
      </c>
      <c r="L200" s="17" t="inlineStr">
        <is>
          <t>Passed</t>
        </is>
      </c>
      <c r="M200" s="16" t="inlineStr">
        <is>
          <t>Screens: a-billing-bk-000004.png (evidence/ui-screens)</t>
        </is>
      </c>
      <c r="N200" s="16" t="inlineStr">
        <is>
          <t>2 Oct 2026</t>
        </is>
      </c>
      <c r="O200" s="16" t="inlineStr">
        <is>
          <t>iorta QA (manual, exploratory)</t>
        </is>
      </c>
      <c r="P200" s="16" t="inlineStr"/>
    </row>
    <row r="201">
      <c r="A201" s="15" t="inlineStr">
        <is>
          <t>CS-0200</t>
        </is>
      </c>
      <c r="B201" s="15" t="inlineStr">
        <is>
          <t>TS-32</t>
        </is>
      </c>
      <c r="C201" s="15" t="inlineStr">
        <is>
          <t>TC-106</t>
        </is>
      </c>
      <c r="D201" s="15" t="inlineStr">
        <is>
          <t>BIL</t>
        </is>
      </c>
      <c r="E201" s="16" t="inlineStr">
        <is>
          <t>Manual lift of a payment block</t>
        </is>
      </c>
      <c r="F201" s="16" t="inlineStr">
        <is>
          <t>manager</t>
        </is>
      </c>
      <c r="G201" s="16" t="inlineStr">
        <is>
          <t>1. Agencies → blocked bank → Lift block with reason</t>
        </is>
      </c>
      <c r="H201" s="16" t="inlineStr">
        <is>
          <t>BNK-MIB</t>
        </is>
      </c>
      <c r="I201" s="16" t="inlineStr">
        <is>
          <t>issuanceBlocked false; audit AGENCY_UNBLOCKED</t>
        </is>
      </c>
      <c r="J201" s="15" t="inlineStr">
        <is>
          <t>API</t>
        </is>
      </c>
      <c r="K201" s="16" t="inlineStr">
        <is>
          <t>Not automated</t>
        </is>
      </c>
      <c r="L201" s="18" t="inlineStr">
        <is>
          <t>Not executed</t>
        </is>
      </c>
      <c r="M201" s="16" t="inlineStr">
        <is>
          <t>Not executed – would alter the shared demonstration state used by the suites</t>
        </is>
      </c>
      <c r="N201" s="16" t="inlineStr"/>
      <c r="O201" s="16" t="inlineStr"/>
      <c r="P201" s="16" t="inlineStr"/>
    </row>
    <row r="202">
      <c r="A202" s="15" t="inlineStr">
        <is>
          <t>CS-0201</t>
        </is>
      </c>
      <c r="B202" s="15" t="inlineStr">
        <is>
          <t>TS-33</t>
        </is>
      </c>
      <c r="C202" s="15" t="inlineStr">
        <is>
          <t>TC-107</t>
        </is>
      </c>
      <c r="D202" s="15" t="inlineStr">
        <is>
          <t>BIL</t>
        </is>
      </c>
      <c r="E202" s="16" t="inlineStr">
        <is>
          <t>Commission statement</t>
        </is>
      </c>
      <c r="F202" s="16" t="inlineStr">
        <is>
          <t>ag-000001</t>
        </is>
      </c>
      <c r="G202" s="16" t="inlineStr">
        <is>
          <t>1. Open Commission</t>
        </is>
      </c>
      <c r="H202" s="16" t="inlineStr">
        <is>
          <t>Issued policies</t>
        </is>
      </c>
      <c r="I202" s="16" t="inlineStr">
        <is>
          <t>Accrued commission per policy with month filter</t>
        </is>
      </c>
      <c r="J202" s="15" t="inlineStr">
        <is>
          <t>UI</t>
        </is>
      </c>
      <c r="K202" s="16" t="inlineStr">
        <is>
          <t>Manual (exploratory)</t>
        </is>
      </c>
      <c r="L202" s="17" t="inlineStr">
        <is>
          <t>Passed</t>
        </is>
      </c>
      <c r="M202" s="16" t="inlineStr">
        <is>
          <t>Screens: a-commission.png, p0-commission.png (evidence/ui-screens)</t>
        </is>
      </c>
      <c r="N202" s="16" t="inlineStr">
        <is>
          <t>2 Oct 2026</t>
        </is>
      </c>
      <c r="O202" s="16" t="inlineStr">
        <is>
          <t>iorta QA (manual, exploratory)</t>
        </is>
      </c>
      <c r="P202" s="16" t="inlineStr"/>
    </row>
    <row r="203">
      <c r="A203" s="15" t="inlineStr">
        <is>
          <t>CS-0202</t>
        </is>
      </c>
      <c r="B203" s="15" t="inlineStr">
        <is>
          <t>TS-34</t>
        </is>
      </c>
      <c r="C203" s="15" t="inlineStr">
        <is>
          <t>TC-108</t>
        </is>
      </c>
      <c r="D203" s="15" t="inlineStr">
        <is>
          <t>SVC</t>
        </is>
      </c>
      <c r="E203" s="16" t="inlineStr">
        <is>
          <t>Renewals due list and renewal quotation</t>
        </is>
      </c>
      <c r="F203" s="16" t="inlineStr">
        <is>
          <t>ag-000001</t>
        </is>
      </c>
      <c r="G203" s="16" t="inlineStr">
        <is>
          <t>1. Open Renewals
2. Renew a due policy</t>
        </is>
      </c>
      <c r="H203" s="16" t="inlineStr">
        <is>
          <t>Policy within 45 days of expiry</t>
        </is>
      </c>
      <c r="I203" s="16" t="inlineStr">
        <is>
          <t>Renewal quotation created in DRAFT</t>
        </is>
      </c>
      <c r="J203" s="15" t="inlineStr">
        <is>
          <t>UI</t>
        </is>
      </c>
      <c r="K203" s="16" t="inlineStr">
        <is>
          <t>Manual (exploratory)</t>
        </is>
      </c>
      <c r="L203" s="17" t="inlineStr">
        <is>
          <t>Passed</t>
        </is>
      </c>
      <c r="M203" s="16" t="inlineStr">
        <is>
          <t>Screens: a-renewals.png, a-renewal-quotation.png, p0-renewals.png (evidence/ui-screens)</t>
        </is>
      </c>
      <c r="N203" s="16" t="inlineStr">
        <is>
          <t>2 Oct 2026</t>
        </is>
      </c>
      <c r="O203" s="16" t="inlineStr">
        <is>
          <t>iorta QA (manual, exploratory)</t>
        </is>
      </c>
      <c r="P203" s="16" t="inlineStr"/>
    </row>
    <row r="204">
      <c r="A204" s="15" t="inlineStr">
        <is>
          <t>CS-0203</t>
        </is>
      </c>
      <c r="B204" s="15" t="inlineStr">
        <is>
          <t>TS-34</t>
        </is>
      </c>
      <c r="C204" s="15" t="inlineStr">
        <is>
          <t>TC-109</t>
        </is>
      </c>
      <c r="D204" s="15" t="inlineStr">
        <is>
          <t>SVC</t>
        </is>
      </c>
      <c r="E204" s="16" t="inlineStr">
        <is>
          <t>Renewal quotation is created from a policy that is due</t>
        </is>
      </c>
      <c r="F204" s="16" t="inlineStr">
        <is>
          <t>ag-000001</t>
        </is>
      </c>
      <c r="G204" s="16" t="inlineStr">
        <is>
          <t>1. GET /api/v1/portal/policies/renewals-due
2. POST /api/v1/portal/policies/{due policy}/renew twice</t>
        </is>
      </c>
      <c r="H204" s="16" t="inlineStr">
        <is>
          <t>Renewable policy ending within 45 days</t>
        </is>
      </c>
      <c r="I204" s="16" t="inlineStr">
        <is>
          <t>POST renew → 201 DRAFT quotation carrying the nominees; a second renewal → 422 RENEWAL_EXISTS</t>
        </is>
      </c>
      <c r="J204" s="15" t="inlineStr">
        <is>
          <t>API</t>
        </is>
      </c>
      <c r="K204" s="16" t="inlineStr">
        <is>
          <t>Executed – API run (tools/testing/api-test-run.mjs)</t>
        </is>
      </c>
      <c r="L204" s="19" t="inlineStr">
        <is>
          <t>Blocked</t>
        </is>
      </c>
      <c r="M204" s="16" t="inlineStr">
        <is>
          <t>api-test-run.json EX-066: GET /api/v1/portal/policies/renewals-due (ag-000001, ag-000002) → Pre-condition not met: no renewable policy is due for renewal in the demonstration data (earlier runs already renewed them)</t>
        </is>
      </c>
      <c r="N204" s="16" t="inlineStr">
        <is>
          <t>2 Oct 2026 22:13 UTC</t>
        </is>
      </c>
      <c r="O204" s="16" t="inlineStr">
        <is>
          <t>iorta TechNXT QA (API run)</t>
        </is>
      </c>
      <c r="P204" s="16" t="inlineStr"/>
    </row>
    <row r="205">
      <c r="A205" s="15" t="inlineStr">
        <is>
          <t>CS-0204</t>
        </is>
      </c>
      <c r="B205" s="15" t="inlineStr">
        <is>
          <t>TS-34</t>
        </is>
      </c>
      <c r="C205" s="15" t="inlineStr">
        <is>
          <t>TC-110</t>
        </is>
      </c>
      <c r="D205" s="15" t="inlineStr">
        <is>
          <t>SVC</t>
        </is>
      </c>
      <c r="E205" s="16" t="inlineStr">
        <is>
          <t>Renewal is only possible inside the renewal window and for renewable products</t>
        </is>
      </c>
      <c r="F205" s="16" t="inlineStr">
        <is>
          <t>ag-000001</t>
        </is>
      </c>
      <c r="G205" s="16" t="inlineStr">
        <is>
          <t>1. POST /api/v1/portal/policies/{new PRO policy}/renew
2. POST /api/v1/portal/policies/{KHR policy}/renew
3. GET /api/v1/portal/policies/renewals-due</t>
        </is>
      </c>
      <c r="H205" s="16" t="inlineStr">
        <is>
          <t>policy.renewal_notice_days = 45</t>
        </is>
      </c>
      <c r="I205" s="16" t="inlineStr">
        <is>
          <t>Renew the new PRO policy (ends in a year) → 422 OUTSIDE_RENEWAL_WINDOW; renew a Khairat policy → 422 NOT_RENEWABLE; renewals-due lists policies ending within 45 days</t>
        </is>
      </c>
      <c r="J205" s="15" t="inlineStr">
        <is>
          <t>API</t>
        </is>
      </c>
      <c r="K205" s="16" t="inlineStr">
        <is>
          <t>Executed – API run (tools/testing/api-test-run.mjs)</t>
        </is>
      </c>
      <c r="L205" s="17" t="inlineStr">
        <is>
          <t>Passed</t>
        </is>
      </c>
      <c r="M205" s="16" t="inlineStr">
        <is>
          <t>api-test-run.json EX-065: POST /api/v1/portal/policies/f16fde6b-2488-470c-a7fd-a0d20332c6bb/renew; POST …/96c15cdb-bd2d-4e38-b0ab-1ee3734ca02c/renew (KHR); GET renewals-due → 422 OUTSIDE_RENEWAL_WINDOW – Renewal opens 45 days before the policy ends and closes 30 days after it | 422 NOT_RENEWABLE – Khairat Takaful Plan cannot be renewed through the portal | due=0 allWithin45d=true</t>
        </is>
      </c>
      <c r="N205" s="16" t="inlineStr">
        <is>
          <t>2 Oct 2026 22:13 UTC</t>
        </is>
      </c>
      <c r="O205" s="16" t="inlineStr">
        <is>
          <t>iorta TechNXT QA (API run)</t>
        </is>
      </c>
      <c r="P205" s="16" t="inlineStr"/>
    </row>
    <row r="206">
      <c r="A206" s="15" t="inlineStr">
        <is>
          <t>CS-0205</t>
        </is>
      </c>
      <c r="B206" s="15" t="inlineStr">
        <is>
          <t>TS-34</t>
        </is>
      </c>
      <c r="C206" s="15" t="inlineStr">
        <is>
          <t>TC-110</t>
        </is>
      </c>
      <c r="D206" s="15" t="inlineStr">
        <is>
          <t>SVC</t>
        </is>
      </c>
      <c r="E206" s="16" t="inlineStr">
        <is>
          <t>Renewal only inside the window (suite)</t>
        </is>
      </c>
      <c r="F206" s="16" t="inlineStr">
        <is>
          <t>ag-000002, bk-000004, ops.maker, finance, underwriter</t>
        </is>
      </c>
      <c r="G206" s="16" t="inlineStr">
        <is>
          <t>1. Run `npm run test:e2e -w apps/api` (rebuilds the iift_test database from the migrations and seeds)
2. Renew a due policy; renew one ending in more than 120 days</t>
        </is>
      </c>
      <c r="H206" s="16" t="inlineStr">
        <is>
          <t>ag-000002 policies</t>
        </is>
      </c>
      <c r="I206" s="16" t="inlineStr">
        <is>
          <t>201 DRAFT; 422 OUTSIDE_RENEWAL_WINDOW</t>
        </is>
      </c>
      <c r="J206" s="15" t="inlineStr">
        <is>
          <t>E2E</t>
        </is>
      </c>
      <c r="K206" s="16" t="inlineStr">
        <is>
          <t>Automated – apps/api/test/policy-lifecycle.e2e-spec.ts › renews a policy only inside its renewal window</t>
        </is>
      </c>
      <c r="L206" s="17" t="inlineStr">
        <is>
          <t>Passed</t>
        </is>
      </c>
      <c r="M206" s="16" t="inlineStr">
        <is>
          <t>api-e2e-tests.json: 'Quotation to e-Policy and e-Receipt (FFR03, AP-17..45, BO-16..19) renews a policy only inside its renewal window' passed (2 Oct 2026 14:55 UTC); test-reruns.json: passed (2 Oct 2026 22:00 UTC)</t>
        </is>
      </c>
      <c r="N206" s="16" t="inlineStr">
        <is>
          <t>2 Oct 2026 22:00 UTC</t>
        </is>
      </c>
      <c r="O206" s="16" t="inlineStr">
        <is>
          <t>iorta QA (Vitest e2e, iift_test database)</t>
        </is>
      </c>
      <c r="P206" s="16" t="inlineStr"/>
    </row>
    <row r="207">
      <c r="A207" s="15" t="inlineStr">
        <is>
          <t>CS-0206</t>
        </is>
      </c>
      <c r="B207" s="15" t="inlineStr">
        <is>
          <t>TS-35</t>
        </is>
      </c>
      <c r="C207" s="15" t="inlineStr">
        <is>
          <t>TC-111</t>
        </is>
      </c>
      <c r="D207" s="15" t="inlineStr">
        <is>
          <t>SVC</t>
        </is>
      </c>
      <c r="E207" s="16" t="inlineStr">
        <is>
          <t>Endorsement request (nominee change) is routed for approval</t>
        </is>
      </c>
      <c r="F207" s="16" t="inlineStr">
        <is>
          <t>ag-000001</t>
        </is>
      </c>
      <c r="G207" s="16" t="inlineStr">
        <is>
          <t>1. POST /api/v1/portal/policies/{id}/endorsements with endorsementType NOT_A_TYPE
2. POST with NOMINEE_CHANGE and two nominees at 50% each</t>
        </is>
      </c>
      <c r="H207" s="16" t="inlineStr">
        <is>
          <t>Policy of EX-043</t>
        </is>
      </c>
      <c r="I207" s="16" t="inlineStr">
        <is>
          <t>HTTP 201; type POLICY_ENDORSEMENT, status PENDING; an invalid endorsement type is refused with 422 INVALID_CODE</t>
        </is>
      </c>
      <c r="J207" s="15" t="inlineStr">
        <is>
          <t>API</t>
        </is>
      </c>
      <c r="K207" s="16" t="inlineStr">
        <is>
          <t>Executed – API run (tools/testing/api-test-run.mjs)</t>
        </is>
      </c>
      <c r="L207" s="17" t="inlineStr">
        <is>
          <t>Passed</t>
        </is>
      </c>
      <c r="M207" s="16" t="inlineStr">
        <is>
          <t>api-test-run.json EX-060: POST /api/v1/portal/policies/f16fde6b-2488-470c-a7fd-a0d20332c6bb/endorsements → 422 INVALID_CODE – "NOT_A_TYPE" is not a valid endorsement type | 201 POLICY_ENDORSEMENT PENDING</t>
        </is>
      </c>
      <c r="N207" s="16" t="inlineStr">
        <is>
          <t>2 Oct 2026 22:13 UTC</t>
        </is>
      </c>
      <c r="O207" s="16" t="inlineStr">
        <is>
          <t>iorta TechNXT QA (API run)</t>
        </is>
      </c>
      <c r="P207" s="16" t="inlineStr"/>
    </row>
    <row r="208">
      <c r="A208" s="15" t="inlineStr">
        <is>
          <t>CS-0207</t>
        </is>
      </c>
      <c r="B208" s="15" t="inlineStr">
        <is>
          <t>TS-35</t>
        </is>
      </c>
      <c r="C208" s="15" t="inlineStr">
        <is>
          <t>TC-111</t>
        </is>
      </c>
      <c r="D208" s="15" t="inlineStr">
        <is>
          <t>SVC</t>
        </is>
      </c>
      <c r="E208" s="16" t="inlineStr">
        <is>
          <t>Endorsement request from the policy page</t>
        </is>
      </c>
      <c r="F208" s="16" t="inlineStr">
        <is>
          <t>ag-000001</t>
        </is>
      </c>
      <c r="G208" s="16" t="inlineStr">
        <is>
          <t>1. Open an active policy
2. Request endorsement
3. Choose type and describe</t>
        </is>
      </c>
      <c r="H208" s="16" t="inlineStr">
        <is>
          <t>NOMINEE_CHANGE</t>
        </is>
      </c>
      <c r="I208" s="16" t="inlineStr">
        <is>
          <t>Request submitted and listed under My requests</t>
        </is>
      </c>
      <c r="J208" s="15" t="inlineStr">
        <is>
          <t>UI</t>
        </is>
      </c>
      <c r="K208" s="16" t="inlineStr">
        <is>
          <t>Manual (exploratory)</t>
        </is>
      </c>
      <c r="L208" s="17" t="inlineStr">
        <is>
          <t>Passed</t>
        </is>
      </c>
      <c r="M208" s="16" t="inlineStr">
        <is>
          <t>Screens: a-endorsement.png (evidence/ui-screens)</t>
        </is>
      </c>
      <c r="N208" s="16" t="inlineStr">
        <is>
          <t>2 Oct 2026</t>
        </is>
      </c>
      <c r="O208" s="16" t="inlineStr">
        <is>
          <t>iorta QA (manual, exploratory)</t>
        </is>
      </c>
      <c r="P208" s="16" t="inlineStr"/>
    </row>
    <row r="209">
      <c r="A209" s="15" t="inlineStr">
        <is>
          <t>CS-0208</t>
        </is>
      </c>
      <c r="B209" s="15" t="inlineStr">
        <is>
          <t>TS-35</t>
        </is>
      </c>
      <c r="C209" s="15" t="inlineStr">
        <is>
          <t>TC-112</t>
        </is>
      </c>
      <c r="D209" s="15" t="inlineStr">
        <is>
          <t>SVC</t>
        </is>
      </c>
      <c r="E209" s="16" t="inlineStr">
        <is>
          <t>Operations supervisor approves the endorsement and the nominees change</t>
        </is>
      </c>
      <c r="F209" s="16" t="inlineStr">
        <is>
          <t>ops.checker</t>
        </is>
      </c>
      <c r="G209" s="16" t="inlineStr">
        <is>
          <t>1. As ops.checker POST approvals/{id}/approve
2. GET /api/v1/portal/policies/{id} and inspect nominees</t>
        </is>
      </c>
      <c r="H209" s="16" t="inlineStr">
        <is>
          <t>Endorsement of EX-060</t>
        </is>
      </c>
      <c r="I209" s="16" t="inlineStr">
        <is>
          <t>HTTP 200; policy detail shows two nominees with 50% each</t>
        </is>
      </c>
      <c r="J209" s="15" t="inlineStr">
        <is>
          <t>API</t>
        </is>
      </c>
      <c r="K209" s="16" t="inlineStr">
        <is>
          <t>Executed – API run (tools/testing/api-test-run.mjs)</t>
        </is>
      </c>
      <c r="L209" s="17" t="inlineStr">
        <is>
          <t>Passed</t>
        </is>
      </c>
      <c r="M209" s="16" t="inlineStr">
        <is>
          <t>api-test-run.json EX-062: POST /api/v1/backoffice/approvals/c844812b-ba22-49bb-9b4c-2bc58c91b1e6/approve → 200 | nominees=2 shares=50/50</t>
        </is>
      </c>
      <c r="N209" s="16" t="inlineStr">
        <is>
          <t>2 Oct 2026 22:13 UTC</t>
        </is>
      </c>
      <c r="O209" s="16" t="inlineStr">
        <is>
          <t>iorta TechNXT QA (API run)</t>
        </is>
      </c>
      <c r="P209" s="16" t="inlineStr"/>
    </row>
    <row r="210">
      <c r="A210" s="15" t="inlineStr">
        <is>
          <t>CS-0209</t>
        </is>
      </c>
      <c r="B210" s="15" t="inlineStr">
        <is>
          <t>TS-36</t>
        </is>
      </c>
      <c r="C210" s="15" t="inlineStr">
        <is>
          <t>TC-113</t>
        </is>
      </c>
      <c r="D210" s="15" t="inlineStr">
        <is>
          <t>SVC</t>
        </is>
      </c>
      <c r="E210" s="16" t="inlineStr">
        <is>
          <t>Cancellation request validation and rejection with mandatory remarks</t>
        </is>
      </c>
      <c r="F210" s="16" t="inlineStr">
        <is>
          <t>ag-000001, ops.checker</t>
        </is>
      </c>
      <c r="G210" s="16" t="inlineStr">
        <is>
          <t>1. POST /api/v1/portal/policies/{id}/cancellations effective 2020-01-01
2. POST with today's date
3. As ops.checker POST reject without remarks
4. POST reject with remarks
5. GET the policy</t>
        </is>
      </c>
      <c r="H210" s="16" t="inlineStr">
        <is>
          <t>Reason PARTICIPANT_REQUEST</t>
        </is>
      </c>
      <c r="I210" s="16" t="inlineStr">
        <is>
          <t>Effective date before cover start → 422 INVALID_DATE; valid request → 201; reject without remarks → 400; reject with remarks → 200 and the policy stays ACTIVE</t>
        </is>
      </c>
      <c r="J210" s="15" t="inlineStr">
        <is>
          <t>API</t>
        </is>
      </c>
      <c r="K210" s="16" t="inlineStr">
        <is>
          <t>Executed – API run (tools/testing/api-test-run.mjs)</t>
        </is>
      </c>
      <c r="L210" s="17" t="inlineStr">
        <is>
          <t>Passed</t>
        </is>
      </c>
      <c r="M210" s="16" t="inlineStr">
        <is>
          <t>api-test-run.json EX-063: POST /api/v1/portal/policies/f16fde6b-2488-470c-a7fd-a0d20332c6bb/cancellations; POST approvals/{id}/reject → 422 INVALID_DATE – Cancellation cannot take effect before the cover start date | 201 | 400 | 200 REJECTED | policy ACTIVE</t>
        </is>
      </c>
      <c r="N210" s="16" t="inlineStr">
        <is>
          <t>2 Oct 2026 22:13 UTC</t>
        </is>
      </c>
      <c r="O210" s="16" t="inlineStr">
        <is>
          <t>iorta TechNXT QA (API run)</t>
        </is>
      </c>
      <c r="P210" s="16" t="inlineStr"/>
    </row>
    <row r="211">
      <c r="A211" s="15" t="inlineStr">
        <is>
          <t>CS-0210</t>
        </is>
      </c>
      <c r="B211" s="15" t="inlineStr">
        <is>
          <t>TS-36</t>
        </is>
      </c>
      <c r="C211" s="15" t="inlineStr">
        <is>
          <t>TC-113</t>
        </is>
      </c>
      <c r="D211" s="15" t="inlineStr">
        <is>
          <t>SVC</t>
        </is>
      </c>
      <c r="E211" s="16" t="inlineStr">
        <is>
          <t>Cancellation request modal</t>
        </is>
      </c>
      <c r="F211" s="16" t="inlineStr">
        <is>
          <t>ag-000001</t>
        </is>
      </c>
      <c r="G211" s="16" t="inlineStr">
        <is>
          <t>1. Open an active policy
2. Cancel
3. Choose reason, date and remarks</t>
        </is>
      </c>
      <c r="H211" s="16" t="inlineStr">
        <is>
          <t>PHA/26/000004</t>
        </is>
      </c>
      <c r="I211" s="16" t="inlineStr">
        <is>
          <t>Modal warns the policy stays in force until approval; request submitted</t>
        </is>
      </c>
      <c r="J211" s="15" t="inlineStr">
        <is>
          <t>UI</t>
        </is>
      </c>
      <c r="K211" s="16" t="inlineStr">
        <is>
          <t>Manual (exploratory)</t>
        </is>
      </c>
      <c r="L211" s="17" t="inlineStr">
        <is>
          <t>Passed</t>
        </is>
      </c>
      <c r="M211" s="16" t="inlineStr">
        <is>
          <t>Screens: a-cancellation.png (evidence/ui-screens)</t>
        </is>
      </c>
      <c r="N211" s="16" t="inlineStr">
        <is>
          <t>2 Oct 2026</t>
        </is>
      </c>
      <c r="O211" s="16" t="inlineStr">
        <is>
          <t>iorta QA (manual, exploratory)</t>
        </is>
      </c>
      <c r="P211" s="16" t="inlineStr"/>
    </row>
    <row r="212">
      <c r="A212" s="15" t="inlineStr">
        <is>
          <t>CS-0211</t>
        </is>
      </c>
      <c r="B212" s="15" t="inlineStr">
        <is>
          <t>TS-36</t>
        </is>
      </c>
      <c r="C212" s="15" t="inlineStr">
        <is>
          <t>TC-114</t>
        </is>
      </c>
      <c r="D212" s="15" t="inlineStr">
        <is>
          <t>SVC</t>
        </is>
      </c>
      <c r="E212" s="16" t="inlineStr">
        <is>
          <t>Cancellation approved sets CANCELLED</t>
        </is>
      </c>
      <c r="F212" s="16" t="inlineStr">
        <is>
          <t>ops.checker</t>
        </is>
      </c>
      <c r="G212" s="16" t="inlineStr">
        <is>
          <t>1. Approve a cancellation request</t>
        </is>
      </c>
      <c r="H212" s="16" t="inlineStr">
        <is>
          <t>Active policy</t>
        </is>
      </c>
      <c r="I212" s="16" t="inlineStr">
        <is>
          <t>Status CANCELLED from the effective date; audit entry</t>
        </is>
      </c>
      <c r="J212" s="15" t="inlineStr">
        <is>
          <t>API</t>
        </is>
      </c>
      <c r="K212" s="16" t="inlineStr">
        <is>
          <t>Not automated</t>
        </is>
      </c>
      <c r="L212" s="18" t="inlineStr">
        <is>
          <t>Not executed</t>
        </is>
      </c>
      <c r="M212" s="16" t="inlineStr">
        <is>
          <t>Not executed in this run – would cancel a demonstration policy; scheduled for SIT regression</t>
        </is>
      </c>
      <c r="N212" s="16" t="inlineStr"/>
      <c r="O212" s="16" t="inlineStr"/>
      <c r="P212" s="16" t="inlineStr"/>
    </row>
    <row r="213">
      <c r="A213" s="15" t="inlineStr">
        <is>
          <t>CS-0212</t>
        </is>
      </c>
      <c r="B213" s="15" t="inlineStr">
        <is>
          <t>TS-37</t>
        </is>
      </c>
      <c r="C213" s="15" t="inlineStr">
        <is>
          <t>TC-115</t>
        </is>
      </c>
      <c r="D213" s="15" t="inlineStr">
        <is>
          <t>CLM</t>
        </is>
      </c>
      <c r="E213" s="16" t="inlineStr">
        <is>
          <t>Claims cannot be notified on a quotation that is not in force</t>
        </is>
      </c>
      <c r="F213" s="16" t="inlineStr">
        <is>
          <t>ag-000001</t>
        </is>
      </c>
      <c r="G213" s="16" t="inlineStr">
        <is>
          <t>1. POST /api/v1/portal/claims against a DRAFT quotation</t>
        </is>
      </c>
      <c r="H213" s="16" t="inlineStr">
        <is>
          <t>Any draft of ag-000001</t>
        </is>
      </c>
      <c r="I213" s="16" t="inlineStr">
        <is>
          <t>HTTP 422 CLAIM_NOT_VALID stating that the policy is not in force</t>
        </is>
      </c>
      <c r="J213" s="15" t="inlineStr">
        <is>
          <t>API</t>
        </is>
      </c>
      <c r="K213" s="16" t="inlineStr">
        <is>
          <t>Executed – API run (tools/testing/api-test-run.mjs)</t>
        </is>
      </c>
      <c r="L213" s="17" t="inlineStr">
        <is>
          <t>Passed</t>
        </is>
      </c>
      <c r="M213" s="16" t="inlineStr">
        <is>
          <t>api-test-run.json EX-069: POST /api/v1/portal/claims (draft quotation) → 422 CLAIM_NOT_VALID – The claim cannot be notified [The policy is not in force; The event date must fall within the period of cover]</t>
        </is>
      </c>
      <c r="N213" s="16" t="inlineStr">
        <is>
          <t>2 Oct 2026 22:13 UTC</t>
        </is>
      </c>
      <c r="O213" s="16" t="inlineStr">
        <is>
          <t>iorta TechNXT QA (API run)</t>
        </is>
      </c>
      <c r="P213" s="16" t="inlineStr"/>
    </row>
    <row r="214">
      <c r="A214" s="15" t="inlineStr">
        <is>
          <t>CS-0213</t>
        </is>
      </c>
      <c r="B214" s="15" t="inlineStr">
        <is>
          <t>TS-37</t>
        </is>
      </c>
      <c r="C214" s="15" t="inlineStr">
        <is>
          <t>TC-116</t>
        </is>
      </c>
      <c r="D214" s="15" t="inlineStr">
        <is>
          <t>CLM</t>
        </is>
      </c>
      <c r="E214" s="16" t="inlineStr">
        <is>
          <t>Claim notification is validated against the policy and the period of cover</t>
        </is>
      </c>
      <c r="F214" s="16" t="inlineStr">
        <is>
          <t>ag-000001</t>
        </is>
      </c>
      <c r="G214" s="16" t="inlineStr">
        <is>
          <t>1. GET /api/v1/portal/claims/validate-policy?policyNo=&lt;EX-043&gt;
2. POST /api/v1/portal/claims with eventDate 2020-01-01
3. POST with today's event date</t>
        </is>
      </c>
      <c r="H214" s="16" t="inlineStr">
        <is>
          <t>ACCIDENT claim</t>
        </is>
      </c>
      <c r="I214" s="16" t="inlineStr">
        <is>
          <t>validate-policy → 200; event before cover start → 422 CLAIM_NOT_VALID; valid → 201 with claimNo CL/yy/nnnnnn</t>
        </is>
      </c>
      <c r="J214" s="15" t="inlineStr">
        <is>
          <t>API</t>
        </is>
      </c>
      <c r="K214" s="16" t="inlineStr">
        <is>
          <t>Executed – API run (tools/testing/api-test-run.mjs)</t>
        </is>
      </c>
      <c r="L214" s="17" t="inlineStr">
        <is>
          <t>Passed</t>
        </is>
      </c>
      <c r="M214" s="16" t="inlineStr">
        <is>
          <t>api-test-run.json EX-067: GET /api/v1/portal/claims/validate-policy; POST /api/v1/portal/claims (2020-01-01; today) → 200 | 422 CLAIM_NOT_VALID – The claim cannot be notified [The event date must fall within the period of cover] | 201 CL/26/000006 SUBMITTED</t>
        </is>
      </c>
      <c r="N214" s="16" t="inlineStr">
        <is>
          <t>2 Oct 2026 22:13 UTC</t>
        </is>
      </c>
      <c r="O214" s="16" t="inlineStr">
        <is>
          <t>iorta TechNXT QA (API run)</t>
        </is>
      </c>
      <c r="P214" s="16" t="inlineStr"/>
    </row>
    <row r="215">
      <c r="A215" s="15" t="inlineStr">
        <is>
          <t>CS-0214</t>
        </is>
      </c>
      <c r="B215" s="15" t="inlineStr">
        <is>
          <t>TS-37</t>
        </is>
      </c>
      <c r="C215" s="15" t="inlineStr">
        <is>
          <t>TC-116</t>
        </is>
      </c>
      <c r="D215" s="15" t="inlineStr">
        <is>
          <t>CLM</t>
        </is>
      </c>
      <c r="E215" s="16" t="inlineStr">
        <is>
          <t>Claim only within the period of cover; status transitions (suite)</t>
        </is>
      </c>
      <c r="F215" s="16" t="inlineStr">
        <is>
          <t>ag-000001, ops.checker, compliance, support, finance, manager</t>
        </is>
      </c>
      <c r="G215" s="16" t="inlineStr">
        <is>
          <t>1. Run `npm run test:e2e -w apps/api` (rebuilds the iift_test database from the migrations and seeds)
2. validate-policy; claim dated 2020; claim today; CLOSED; UNDER_REVIEW</t>
        </is>
      </c>
      <c r="H215" s="16" t="inlineStr">
        <is>
          <t>KHR policy</t>
        </is>
      </c>
      <c r="I215" s="16" t="inlineStr">
        <is>
          <t>200; 422 CLAIM_NOT_VALID; 201; 422; 200</t>
        </is>
      </c>
      <c r="J215" s="15" t="inlineStr">
        <is>
          <t>E2E</t>
        </is>
      </c>
      <c r="K215" s="16" t="inlineStr">
        <is>
          <t>Automated – apps/api/test/operations.e2e-spec.ts › accepts claim notifications only within the period of cover (AP-43)</t>
        </is>
      </c>
      <c r="L215" s="20" t="inlineStr">
        <is>
          <t>Failed</t>
        </is>
      </c>
      <c r="M215" s="16" t="inlineStr">
        <is>
          <t>api-e2e-tests.json: 'Back-office operations accepts claim notifications only within the period of cover (AP-43)' passed (2 Oct 2026 14:55 UTC); test-reruns.json: failed (2 Oct 2026 22:00 UTC) – Error: expected 201 "Created", got 422 "Unprocessable Entity"</t>
        </is>
      </c>
      <c r="N215" s="16" t="inlineStr">
        <is>
          <t>2 Oct 2026 22:00 UTC</t>
        </is>
      </c>
      <c r="O215" s="16" t="inlineStr">
        <is>
          <t>iorta QA (Vitest e2e, iift_test database)</t>
        </is>
      </c>
      <c r="P215" s="16" t="inlineStr">
        <is>
          <t>DEF-001</t>
        </is>
      </c>
    </row>
    <row r="216">
      <c r="A216" s="15" t="inlineStr">
        <is>
          <t>CS-0215</t>
        </is>
      </c>
      <c r="B216" s="15" t="inlineStr">
        <is>
          <t>TS-37</t>
        </is>
      </c>
      <c r="C216" s="15" t="inlineStr">
        <is>
          <t>TC-117</t>
        </is>
      </c>
      <c r="D216" s="15" t="inlineStr">
        <is>
          <t>CLM</t>
        </is>
      </c>
      <c r="E216" s="16" t="inlineStr">
        <is>
          <t>Claim status follows the defined transitions in the back-office</t>
        </is>
      </c>
      <c r="F216" s="16" t="inlineStr">
        <is>
          <t>ops.maker</t>
        </is>
      </c>
      <c r="G216" s="16" t="inlineStr">
        <is>
          <t>1. As ops.maker PUT /api/v1/backoffice/claims/{id}/status CLOSED
2. PUT UNDER_REVIEW
3. As ag-000001 GET /api/v1/portal/claims/{id}</t>
        </is>
      </c>
      <c r="H216" s="16" t="inlineStr">
        <is>
          <t>Claim of EX-067</t>
        </is>
      </c>
      <c r="I216" s="16" t="inlineStr">
        <is>
          <t>SUBMITTED → CLOSED refused (422 INVALID_STATUS_CHANGE); SUBMITTED → UNDER_REVIEW accepted (200); the agent sees the new status</t>
        </is>
      </c>
      <c r="J216" s="15" t="inlineStr">
        <is>
          <t>API</t>
        </is>
      </c>
      <c r="K216" s="16" t="inlineStr">
        <is>
          <t>Executed – API run (tools/testing/api-test-run.mjs)</t>
        </is>
      </c>
      <c r="L216" s="17" t="inlineStr">
        <is>
          <t>Passed</t>
        </is>
      </c>
      <c r="M216" s="16" t="inlineStr">
        <is>
          <t>api-test-run.json EX-068: PUT /api/v1/backoffice/claims/e492485c-3011-4185-b73a-f30117b935e5/status (CLOSED; UNDER_REVIEW) → 422 INVALID_STATUS_CHANGE – A SUBMITTED claim cannot move to CLOSED | 200 | agent sees UNDER_REVIEW</t>
        </is>
      </c>
      <c r="N216" s="16" t="inlineStr">
        <is>
          <t>2 Oct 2026 22:13 UTC</t>
        </is>
      </c>
      <c r="O216" s="16" t="inlineStr">
        <is>
          <t>iorta TechNXT QA (API run)</t>
        </is>
      </c>
      <c r="P216" s="16" t="inlineStr"/>
    </row>
    <row r="217">
      <c r="A217" s="15" t="inlineStr">
        <is>
          <t>CS-0216</t>
        </is>
      </c>
      <c r="B217" s="15" t="inlineStr">
        <is>
          <t>TS-37</t>
        </is>
      </c>
      <c r="C217" s="15" t="inlineStr">
        <is>
          <t>TC-118</t>
        </is>
      </c>
      <c r="D217" s="15" t="inlineStr">
        <is>
          <t>CLM</t>
        </is>
      </c>
      <c r="E217" s="16" t="inlineStr">
        <is>
          <t>Claim notification and back-office review</t>
        </is>
      </c>
      <c r="F217" s="16" t="inlineStr">
        <is>
          <t>ag-000001, ops.maker</t>
        </is>
      </c>
      <c r="G217" s="16" t="inlineStr">
        <is>
          <t>1. Open Claims
2. New claim: validate policy, enter details, upload
3. Back-office opens the claim and updates the status</t>
        </is>
      </c>
      <c r="H217" s="16" t="inlineStr">
        <is>
          <t>ACCIDENT claim</t>
        </is>
      </c>
      <c r="I217" s="16" t="inlineStr">
        <is>
          <t>Claim created with number; status updated in the back-office and visible to the agent</t>
        </is>
      </c>
      <c r="J217" s="15" t="inlineStr">
        <is>
          <t>UI</t>
        </is>
      </c>
      <c r="K217" s="16" t="inlineStr">
        <is>
          <t>Manual (exploratory)</t>
        </is>
      </c>
      <c r="L217" s="17" t="inlineStr">
        <is>
          <t>Passed</t>
        </is>
      </c>
      <c r="M217" s="16" t="inlineStr">
        <is>
          <t>Screens: a-claims.png, a-claim-new.png, a-claim-created.png, a-bo-claims.png, a-bo-claim.png, a-bo-claim-status.png, a-bo-claim-updated.png (evidence/ui-screens)</t>
        </is>
      </c>
      <c r="N217" s="16" t="inlineStr">
        <is>
          <t>2 Oct 2026</t>
        </is>
      </c>
      <c r="O217" s="16" t="inlineStr">
        <is>
          <t>iorta QA (manual, exploratory)</t>
        </is>
      </c>
      <c r="P217" s="16" t="inlineStr"/>
    </row>
    <row r="218">
      <c r="A218" s="15" t="inlineStr">
        <is>
          <t>CS-0217</t>
        </is>
      </c>
      <c r="B218" s="15" t="inlineStr">
        <is>
          <t>TS-38</t>
        </is>
      </c>
      <c r="C218" s="15" t="inlineStr">
        <is>
          <t>TC-119</t>
        </is>
      </c>
      <c r="D218" s="15" t="inlineStr">
        <is>
          <t>DOC</t>
        </is>
      </c>
      <c r="E218" s="16" t="inlineStr">
        <is>
          <t>FileInspector: identifies files by content and forces a matching extension</t>
        </is>
      </c>
      <c r="F218" s="16" t="inlineStr">
        <is>
          <t>Developer / CI</t>
        </is>
      </c>
      <c r="G218" s="16" t="inlineStr">
        <is>
          <t>1. Run `npm test -w apps/api` (Vitest)
2. Locate 'FileInspector identifies files by content and forces a matching extension' in the run output</t>
        </is>
      </c>
      <c r="H218" s="16" t="inlineStr">
        <is>
          <t>Fixtures defined in modules/documents/file-inspector.spec.ts</t>
        </is>
      </c>
      <c r="I218" s="16" t="inlineStr">
        <is>
          <t>The test passes: FileInspector identifies files by content and forces a matching extension.</t>
        </is>
      </c>
      <c r="J218" s="15" t="inlineStr">
        <is>
          <t>Unit</t>
        </is>
      </c>
      <c r="K218" s="16" t="inlineStr">
        <is>
          <t>Automated – modules/documents/file-inspector.spec.ts</t>
        </is>
      </c>
      <c r="L218" s="17" t="inlineStr">
        <is>
          <t>Passed</t>
        </is>
      </c>
      <c r="M218" s="16" t="inlineStr">
        <is>
          <t>api-unit-tests.json: 'FileInspector identifies files by content and forces a matching extension' passed (2 Oct 2026 14:55 UTC); test-reruns.json: passed (2 Oct 2026 21:45 UTC)</t>
        </is>
      </c>
      <c r="N218" s="16" t="inlineStr">
        <is>
          <t>2 Oct 2026 21:45 UTC</t>
        </is>
      </c>
      <c r="O218" s="16" t="inlineStr">
        <is>
          <t>iorta QA (Vitest)</t>
        </is>
      </c>
      <c r="P218" s="16" t="inlineStr"/>
    </row>
    <row r="219">
      <c r="A219" s="15" t="inlineStr">
        <is>
          <t>CS-0218</t>
        </is>
      </c>
      <c r="B219" s="15" t="inlineStr">
        <is>
          <t>TS-38</t>
        </is>
      </c>
      <c r="C219" s="15" t="inlineStr">
        <is>
          <t>TC-119</t>
        </is>
      </c>
      <c r="D219" s="15" t="inlineStr">
        <is>
          <t>DOC</t>
        </is>
      </c>
      <c r="E219" s="16" t="inlineStr">
        <is>
          <t>FileInspector: rejects content that is not PDF, PNG or JPEG whatever its name</t>
        </is>
      </c>
      <c r="F219" s="16" t="inlineStr">
        <is>
          <t>Developer / CI</t>
        </is>
      </c>
      <c r="G219" s="16" t="inlineStr">
        <is>
          <t>1. Run `npm test -w apps/api` (Vitest)
2. Locate 'FileInspector rejects content that is not PDF, PNG or JPEG whatever its name' in the run output</t>
        </is>
      </c>
      <c r="H219" s="16" t="inlineStr">
        <is>
          <t>Fixtures defined in modules/documents/file-inspector.spec.ts</t>
        </is>
      </c>
      <c r="I219" s="16" t="inlineStr">
        <is>
          <t>The test passes: FileInspector rejects content that is not PDF, PNG or JPEG whatever its name.</t>
        </is>
      </c>
      <c r="J219" s="15" t="inlineStr">
        <is>
          <t>Unit</t>
        </is>
      </c>
      <c r="K219" s="16" t="inlineStr">
        <is>
          <t>Automated – modules/documents/file-inspector.spec.ts</t>
        </is>
      </c>
      <c r="L219" s="17" t="inlineStr">
        <is>
          <t>Passed</t>
        </is>
      </c>
      <c r="M219" s="16" t="inlineStr">
        <is>
          <t>api-unit-tests.json: 'FileInspector rejects content that is not PDF, PNG or JPEG whatever its name' passed (2 Oct 2026 14:55 UTC); test-reruns.json: passed (2 Oct 2026 21:45 UTC)</t>
        </is>
      </c>
      <c r="N219" s="16" t="inlineStr">
        <is>
          <t>2 Oct 2026 21:45 UTC</t>
        </is>
      </c>
      <c r="O219" s="16" t="inlineStr">
        <is>
          <t>iorta QA (Vitest)</t>
        </is>
      </c>
      <c r="P219" s="16" t="inlineStr"/>
    </row>
    <row r="220">
      <c r="A220" s="15" t="inlineStr">
        <is>
          <t>CS-0219</t>
        </is>
      </c>
      <c r="B220" s="15" t="inlineStr">
        <is>
          <t>TS-38</t>
        </is>
      </c>
      <c r="C220" s="15" t="inlineStr">
        <is>
          <t>TC-119</t>
        </is>
      </c>
      <c r="D220" s="15" t="inlineStr">
        <is>
          <t>DOC</t>
        </is>
      </c>
      <c r="E220" s="16" t="inlineStr">
        <is>
          <t>Disguised executable is refused; PDF documents are accepted</t>
        </is>
      </c>
      <c r="F220" s="16" t="inlineStr">
        <is>
          <t>ag-000001</t>
        </is>
      </c>
      <c r="G220" s="16" t="inlineStr">
        <is>
          <t>1. POST /api/v1/common/documents with MZ content named ic.pdf
2. Upload a PDF as IC_COPY
3. Upload a PDF as NOMINEE_IC</t>
        </is>
      </c>
      <c r="H220" s="16" t="inlineStr">
        <is>
          <t>ownerType POLICY</t>
        </is>
      </c>
      <c r="I220" s="16" t="inlineStr">
        <is>
          <t>HTTP 422 FILE_TYPE_NOT_ALLOWED for "ic.pdf" with MZ content; 201 for the IC and nominee IC copies</t>
        </is>
      </c>
      <c r="J220" s="15" t="inlineStr">
        <is>
          <t>API</t>
        </is>
      </c>
      <c r="K220" s="16" t="inlineStr">
        <is>
          <t>Executed – API run (tools/testing/api-test-run.mjs)</t>
        </is>
      </c>
      <c r="L220" s="17" t="inlineStr">
        <is>
          <t>Passed</t>
        </is>
      </c>
      <c r="M220" s="16" t="inlineStr">
        <is>
          <t>api-test-run.json EX-036: POST /api/v1/common/documents (ownerType POLICY) → 422 FILE_TYPE_NOT_ALLOWED – Only PDF, PNG and JPEG files are accepted | 201 | 201</t>
        </is>
      </c>
      <c r="N220" s="16" t="inlineStr">
        <is>
          <t>2 Oct 2026 22:13 UTC</t>
        </is>
      </c>
      <c r="O220" s="16" t="inlineStr">
        <is>
          <t>iorta TechNXT QA (API run)</t>
        </is>
      </c>
      <c r="P220" s="16" t="inlineStr"/>
    </row>
    <row r="221">
      <c r="A221" s="15" t="inlineStr">
        <is>
          <t>CS-0220</t>
        </is>
      </c>
      <c r="B221" s="15" t="inlineStr">
        <is>
          <t>TS-38</t>
        </is>
      </c>
      <c r="C221" s="15" t="inlineStr">
        <is>
          <t>TC-119</t>
        </is>
      </c>
      <c r="D221" s="15" t="inlineStr">
        <is>
          <t>DOC</t>
        </is>
      </c>
      <c r="E221" s="16" t="inlineStr">
        <is>
          <t>Journey: disguised executable refused, PDFs accepted (suite)</t>
        </is>
      </c>
      <c r="F221" s="16" t="inlineStr">
        <is>
          <t>ag-000002, bk-000004, ops.maker, finance, underwriter</t>
        </is>
      </c>
      <c r="G221" s="16" t="inlineStr">
        <is>
          <t>1. Run `npm run test:e2e -w apps/api` (rebuilds the iift_test database from the migrations and seeds)
2. Upload MZ content as ic.pdf; upload PDFs; sign on screen</t>
        </is>
      </c>
      <c r="H221" s="16" t="inlineStr">
        <is>
          <t>IC_COPY, NOMINEE_IC, PNG signature</t>
        </is>
      </c>
      <c r="I221" s="16" t="inlineStr">
        <is>
          <t>422 FILE_TYPE_NOT_ALLOWED; 201; 201; 201</t>
        </is>
      </c>
      <c r="J221" s="15" t="inlineStr">
        <is>
          <t>E2E</t>
        </is>
      </c>
      <c r="K221" s="16" t="inlineStr">
        <is>
          <t>Automated – apps/api/test/policy-lifecycle.e2e-spec.ts › runs the full Professional Takaful Plan journey with maker-checker payment verification</t>
        </is>
      </c>
      <c r="L221" s="17" t="inlineStr">
        <is>
          <t>Passed</t>
        </is>
      </c>
      <c r="M221" s="16" t="inlineStr">
        <is>
          <t>api-e2e-tests.json: 'Quotation to e-Policy and e-Receipt (FFR03, AP-17..45, BO-16..19) runs the full Professional Takaful Plan journey with maker-checker payment verification' passed (2 Oct 2026 14:55 UTC); test-reruns.json: passed (2 Oct 2026 22:00 UTC)</t>
        </is>
      </c>
      <c r="N221" s="16" t="inlineStr">
        <is>
          <t>2 Oct 2026 22:00 UTC</t>
        </is>
      </c>
      <c r="O221" s="16" t="inlineStr">
        <is>
          <t>iorta QA (Vitest e2e, iift_test database)</t>
        </is>
      </c>
      <c r="P221" s="16" t="inlineStr"/>
    </row>
    <row r="222">
      <c r="A222" s="15" t="inlineStr">
        <is>
          <t>CS-0221</t>
        </is>
      </c>
      <c r="B222" s="15" t="inlineStr">
        <is>
          <t>TS-38</t>
        </is>
      </c>
      <c r="C222" s="15" t="inlineStr">
        <is>
          <t>TC-119</t>
        </is>
      </c>
      <c r="D222" s="15" t="inlineStr">
        <is>
          <t>DOC</t>
        </is>
      </c>
      <c r="E222" s="16" t="inlineStr">
        <is>
          <t>SEC-22 (OWASP A08): Uploads are checked by content: executables, HTML and SVG are refused</t>
        </is>
      </c>
      <c r="F222" s="16" t="inlineStr">
        <is>
          <t>Security tester</t>
        </is>
      </c>
      <c r="G222" s="16" t="inlineStr">
        <is>
          <t>1. Run `node tools/security/security-checks.mjs` against a fresh non-production instance with demonstration data
2. Read the result of SEC-22</t>
        </is>
      </c>
      <c r="H222" s="16" t="inlineStr">
        <is>
          <t>Demonstration users and records; crafted payloads as described in the script</t>
        </is>
      </c>
      <c r="I222" s="16" t="inlineStr">
        <is>
          <t>422 for executable, HTML and SVG content</t>
        </is>
      </c>
      <c r="J222" s="15" t="inlineStr">
        <is>
          <t>Security</t>
        </is>
      </c>
      <c r="K222" s="16" t="inlineStr">
        <is>
          <t>Automated – tools/security/security-checks.mjs</t>
        </is>
      </c>
      <c r="L222" s="17" t="inlineStr">
        <is>
          <t>Passed</t>
        </is>
      </c>
      <c r="M222" s="16" t="inlineStr">
        <is>
          <t>security-checks.json: SEC-22 PASS (2 Oct 2026 14:57 UTC); evidence summarised in the Security Assessment Report</t>
        </is>
      </c>
      <c r="N222" s="16" t="inlineStr">
        <is>
          <t>2 Oct 2026 14:57 UTC</t>
        </is>
      </c>
      <c r="O222" s="16" t="inlineStr">
        <is>
          <t>iorta QA (security-checks.mjs)</t>
        </is>
      </c>
      <c r="P222" s="16" t="inlineStr"/>
    </row>
    <row r="223">
      <c r="A223" s="15" t="inlineStr">
        <is>
          <t>CS-0222</t>
        </is>
      </c>
      <c r="B223" s="15" t="inlineStr">
        <is>
          <t>TS-38</t>
        </is>
      </c>
      <c r="C223" s="15" t="inlineStr">
        <is>
          <t>TC-120</t>
        </is>
      </c>
      <c r="D223" s="15" t="inlineStr">
        <is>
          <t>DOC</t>
        </is>
      </c>
      <c r="E223" s="16" t="inlineStr">
        <is>
          <t>FileInspector: builds safe file names</t>
        </is>
      </c>
      <c r="F223" s="16" t="inlineStr">
        <is>
          <t>Developer / CI</t>
        </is>
      </c>
      <c r="G223" s="16" t="inlineStr">
        <is>
          <t>1. Run `npm test -w apps/api` (Vitest)
2. Locate 'FileInspector builds safe file names' in the run output</t>
        </is>
      </c>
      <c r="H223" s="16" t="inlineStr">
        <is>
          <t>Fixtures defined in modules/documents/file-inspector.spec.ts</t>
        </is>
      </c>
      <c r="I223" s="16" t="inlineStr">
        <is>
          <t>The test passes: FileInspector builds safe file names.</t>
        </is>
      </c>
      <c r="J223" s="15" t="inlineStr">
        <is>
          <t>Unit</t>
        </is>
      </c>
      <c r="K223" s="16" t="inlineStr">
        <is>
          <t>Automated – modules/documents/file-inspector.spec.ts</t>
        </is>
      </c>
      <c r="L223" s="17" t="inlineStr">
        <is>
          <t>Passed</t>
        </is>
      </c>
      <c r="M223" s="16" t="inlineStr">
        <is>
          <t>api-unit-tests.json: 'FileInspector builds safe file names' passed (2 Oct 2026 14:55 UTC); test-reruns.json: passed (2 Oct 2026 21:45 UTC)</t>
        </is>
      </c>
      <c r="N223" s="16" t="inlineStr">
        <is>
          <t>2 Oct 2026 21:45 UTC</t>
        </is>
      </c>
      <c r="O223" s="16" t="inlineStr">
        <is>
          <t>iorta QA (Vitest)</t>
        </is>
      </c>
      <c r="P223" s="16" t="inlineStr"/>
    </row>
    <row r="224">
      <c r="A224" s="15" t="inlineStr">
        <is>
          <t>CS-0223</t>
        </is>
      </c>
      <c r="B224" s="15" t="inlineStr">
        <is>
          <t>TS-38</t>
        </is>
      </c>
      <c r="C224" s="15" t="inlineStr">
        <is>
          <t>TC-120</t>
        </is>
      </c>
      <c r="D224" s="15" t="inlineStr">
        <is>
          <t>DOC</t>
        </is>
      </c>
      <c r="E224" s="16" t="inlineStr">
        <is>
          <t>FileInspector: enforces the size limit and requires a file</t>
        </is>
      </c>
      <c r="F224" s="16" t="inlineStr">
        <is>
          <t>Developer / CI</t>
        </is>
      </c>
      <c r="G224" s="16" t="inlineStr">
        <is>
          <t>1. Run `npm test -w apps/api` (Vitest)
2. Locate 'FileInspector enforces the size limit and requires a file' in the run output</t>
        </is>
      </c>
      <c r="H224" s="16" t="inlineStr">
        <is>
          <t>Fixtures defined in modules/documents/file-inspector.spec.ts</t>
        </is>
      </c>
      <c r="I224" s="16" t="inlineStr">
        <is>
          <t>The test passes: FileInspector enforces the size limit and requires a file.</t>
        </is>
      </c>
      <c r="J224" s="15" t="inlineStr">
        <is>
          <t>Unit</t>
        </is>
      </c>
      <c r="K224" s="16" t="inlineStr">
        <is>
          <t>Automated – modules/documents/file-inspector.spec.ts</t>
        </is>
      </c>
      <c r="L224" s="17" t="inlineStr">
        <is>
          <t>Passed</t>
        </is>
      </c>
      <c r="M224" s="16" t="inlineStr">
        <is>
          <t>api-unit-tests.json: 'FileInspector enforces the size limit and requires a file' passed (2 Oct 2026 14:55 UTC); test-reruns.json: passed (2 Oct 2026 21:45 UTC)</t>
        </is>
      </c>
      <c r="N224" s="16" t="inlineStr">
        <is>
          <t>2 Oct 2026 21:45 UTC</t>
        </is>
      </c>
      <c r="O224" s="16" t="inlineStr">
        <is>
          <t>iorta QA (Vitest)</t>
        </is>
      </c>
      <c r="P224" s="16" t="inlineStr"/>
    </row>
    <row r="225">
      <c r="A225" s="15" t="inlineStr">
        <is>
          <t>CS-0224</t>
        </is>
      </c>
      <c r="B225" s="15" t="inlineStr">
        <is>
          <t>TS-38</t>
        </is>
      </c>
      <c r="C225" s="15" t="inlineStr">
        <is>
          <t>TC-120</t>
        </is>
      </c>
      <c r="D225" s="15" t="inlineStr">
        <is>
          <t>DOC</t>
        </is>
      </c>
      <c r="E225" s="16" t="inlineStr">
        <is>
          <t>SEC-23 (OWASP A08): Uploads above the size limit are refused</t>
        </is>
      </c>
      <c r="F225" s="16" t="inlineStr">
        <is>
          <t>Security tester</t>
        </is>
      </c>
      <c r="G225" s="16" t="inlineStr">
        <is>
          <t>1. Run `node tools/security/security-checks.mjs` against a fresh non-production instance with demonstration data
2. Read the result of SEC-23</t>
        </is>
      </c>
      <c r="H225" s="16" t="inlineStr">
        <is>
          <t>Demonstration users and records; crafted payloads as described in the script</t>
        </is>
      </c>
      <c r="I225" s="16" t="inlineStr">
        <is>
          <t>422 FILE_TOO_LARGE</t>
        </is>
      </c>
      <c r="J225" s="15" t="inlineStr">
        <is>
          <t>Security</t>
        </is>
      </c>
      <c r="K225" s="16" t="inlineStr">
        <is>
          <t>Automated – tools/security/security-checks.mjs</t>
        </is>
      </c>
      <c r="L225" s="17" t="inlineStr">
        <is>
          <t>Passed</t>
        </is>
      </c>
      <c r="M225" s="16" t="inlineStr">
        <is>
          <t>security-checks.json: SEC-23 PASS (2 Oct 2026 14:57 UTC); evidence summarised in the Security Assessment Report</t>
        </is>
      </c>
      <c r="N225" s="16" t="inlineStr">
        <is>
          <t>2 Oct 2026 14:57 UTC</t>
        </is>
      </c>
      <c r="O225" s="16" t="inlineStr">
        <is>
          <t>iorta QA (security-checks.mjs)</t>
        </is>
      </c>
      <c r="P225" s="16" t="inlineStr"/>
    </row>
    <row r="226">
      <c r="A226" s="15" t="inlineStr">
        <is>
          <t>CS-0225</t>
        </is>
      </c>
      <c r="B226" s="15" t="inlineStr">
        <is>
          <t>TS-38</t>
        </is>
      </c>
      <c r="C226" s="15" t="inlineStr">
        <is>
          <t>TC-120</t>
        </is>
      </c>
      <c r="D226" s="15" t="inlineStr">
        <is>
          <t>DOC</t>
        </is>
      </c>
      <c r="E226" s="16" t="inlineStr">
        <is>
          <t>SEC-24 (OWASP A08): Path elements in file names are removed</t>
        </is>
      </c>
      <c r="F226" s="16" t="inlineStr">
        <is>
          <t>Security tester</t>
        </is>
      </c>
      <c r="G226" s="16" t="inlineStr">
        <is>
          <t>1. Run `node tools/security/security-checks.mjs` against a fresh non-production instance with demonstration data
2. Read the result of SEC-24</t>
        </is>
      </c>
      <c r="H226" s="16" t="inlineStr">
        <is>
          <t>Demonstration users and records; crafted payloads as described in the script</t>
        </is>
      </c>
      <c r="I226" s="16" t="inlineStr">
        <is>
          <t>Stored name stripped of path elements</t>
        </is>
      </c>
      <c r="J226" s="15" t="inlineStr">
        <is>
          <t>Security</t>
        </is>
      </c>
      <c r="K226" s="16" t="inlineStr">
        <is>
          <t>Automated – tools/security/security-checks.mjs</t>
        </is>
      </c>
      <c r="L226" s="17" t="inlineStr">
        <is>
          <t>Passed</t>
        </is>
      </c>
      <c r="M226" s="16" t="inlineStr">
        <is>
          <t>security-checks.json: SEC-24 PASS (2 Oct 2026 14:57 UTC); evidence summarised in the Security Assessment Report</t>
        </is>
      </c>
      <c r="N226" s="16" t="inlineStr">
        <is>
          <t>2 Oct 2026 14:57 UTC</t>
        </is>
      </c>
      <c r="O226" s="16" t="inlineStr">
        <is>
          <t>iorta QA (security-checks.mjs)</t>
        </is>
      </c>
      <c r="P226" s="16" t="inlineStr"/>
    </row>
    <row r="227">
      <c r="A227" s="15" t="inlineStr">
        <is>
          <t>CS-0226</t>
        </is>
      </c>
      <c r="B227" s="15" t="inlineStr">
        <is>
          <t>TS-38</t>
        </is>
      </c>
      <c r="C227" s="15" t="inlineStr">
        <is>
          <t>TC-121</t>
        </is>
      </c>
      <c r="D227" s="15" t="inlineStr">
        <is>
          <t>DOC</t>
        </is>
      </c>
      <c r="E227" s="16" t="inlineStr">
        <is>
          <t>Malware scan refuses an infected upload</t>
        </is>
      </c>
      <c r="F227" s="16" t="inlineStr">
        <is>
          <t>Agent</t>
        </is>
      </c>
      <c r="G227" s="16" t="inlineStr">
        <is>
          <t>1. Run ClamAV
2. Upload the EICAR test file as PDF</t>
        </is>
      </c>
      <c r="H227" s="16" t="inlineStr">
        <is>
          <t>CLAMAV_HOST</t>
        </is>
      </c>
      <c r="I227" s="16" t="inlineStr">
        <is>
          <t>422 FILE_REJECTED; audit entry</t>
        </is>
      </c>
      <c r="J227" s="15" t="inlineStr">
        <is>
          <t>SIT</t>
        </is>
      </c>
      <c r="K227" s="16" t="inlineStr">
        <is>
          <t>Not automated</t>
        </is>
      </c>
      <c r="L227" s="18" t="inlineStr">
        <is>
          <t>Not executed</t>
        </is>
      </c>
      <c r="M227" s="16" t="inlineStr">
        <is>
          <t>Not executed – ClamAV not running in the iorta test instance; mandatory in production</t>
        </is>
      </c>
      <c r="N227" s="16" t="inlineStr"/>
      <c r="O227" s="16" t="inlineStr"/>
      <c r="P227" s="16" t="inlineStr"/>
    </row>
    <row r="228">
      <c r="A228" s="15" t="inlineStr">
        <is>
          <t>CS-0227</t>
        </is>
      </c>
      <c r="B228" s="15" t="inlineStr">
        <is>
          <t>TS-38</t>
        </is>
      </c>
      <c r="C228" s="15" t="inlineStr">
        <is>
          <t>TC-122</t>
        </is>
      </c>
      <c r="D228" s="15" t="inlineStr">
        <is>
          <t>DOC</t>
        </is>
      </c>
      <c r="E228" s="16" t="inlineStr">
        <is>
          <t>Document review: segregation of duties and mandatory rejection remarks</t>
        </is>
      </c>
      <c r="F228" s="16" t="inlineStr">
        <is>
          <t>ops.checker, ag-000001</t>
        </is>
      </c>
      <c r="G228" s="16" t="inlineStr">
        <is>
          <t>1. As ops.checker POST documents/{IC copy}/review REJECTED without remarks
2. POST VERIFIED with remarks
3. As ag-000001 GET /api/v1/common/documents for the policy</t>
        </is>
      </c>
      <c r="H228" s="16" t="inlineStr">
        <is>
          <t>IC copy uploaded in EX-036</t>
        </is>
      </c>
      <c r="I228" s="16" t="inlineStr">
        <is>
          <t>Reject without remarks → 422 REMARKS_REQUIRED; verify the agent’s IC copy → 200/201 status VERIFIED; the uploader sees the status</t>
        </is>
      </c>
      <c r="J228" s="15" t="inlineStr">
        <is>
          <t>API</t>
        </is>
      </c>
      <c r="K228" s="16" t="inlineStr">
        <is>
          <t>Executed – API run (tools/testing/api-test-run.mjs)</t>
        </is>
      </c>
      <c r="L228" s="17" t="inlineStr">
        <is>
          <t>Passed</t>
        </is>
      </c>
      <c r="M228" s="16" t="inlineStr">
        <is>
          <t>api-test-run.json EX-118: POST /api/v1/backoffice/documents/f42ac035-eb19-4864-9631-ac744b94fc21/review (REJECTED no remarks; VERIFIED) → 422 REMARKS_REQUIRED – Please give a reason for rejecting the document | 201 VERIFIED | uploader sees VERIFIED</t>
        </is>
      </c>
      <c r="N228" s="16" t="inlineStr">
        <is>
          <t>2 Oct 2026 22:13 UTC</t>
        </is>
      </c>
      <c r="O228" s="16" t="inlineStr">
        <is>
          <t>iorta TechNXT QA (API run)</t>
        </is>
      </c>
      <c r="P228" s="16" t="inlineStr"/>
    </row>
    <row r="229">
      <c r="A229" s="15" t="inlineStr">
        <is>
          <t>CS-0228</t>
        </is>
      </c>
      <c r="B229" s="15" t="inlineStr">
        <is>
          <t>TS-38</t>
        </is>
      </c>
      <c r="C229" s="15" t="inlineStr">
        <is>
          <t>TC-122</t>
        </is>
      </c>
      <c r="D229" s="15" t="inlineStr">
        <is>
          <t>DOC</t>
        </is>
      </c>
      <c r="E229" s="16" t="inlineStr">
        <is>
          <t>Document checks queue</t>
        </is>
      </c>
      <c r="F229" s="16" t="inlineStr">
        <is>
          <t>ops.checker</t>
        </is>
      </c>
      <c r="G229" s="16" t="inlineStr">
        <is>
          <t>1. Open Document checks
2. Verify or reject a document</t>
        </is>
      </c>
      <c r="H229" s="16" t="inlineStr">
        <is>
          <t>Uploaded IC copy</t>
        </is>
      </c>
      <c r="I229" s="16" t="inlineStr">
        <is>
          <t>Queue lists uploaded documents; decision recorded</t>
        </is>
      </c>
      <c r="J229" s="15" t="inlineStr">
        <is>
          <t>UI</t>
        </is>
      </c>
      <c r="K229" s="16" t="inlineStr">
        <is>
          <t>Manual (exploratory)</t>
        </is>
      </c>
      <c r="L229" s="17" t="inlineStr">
        <is>
          <t>Passed</t>
        </is>
      </c>
      <c r="M229" s="16" t="inlineStr">
        <is>
          <t>Screens: b-bo-documents.png, b-final-docs.png (evidence/ui-screens)</t>
        </is>
      </c>
      <c r="N229" s="16" t="inlineStr">
        <is>
          <t>2 Oct 2026</t>
        </is>
      </c>
      <c r="O229" s="16" t="inlineStr">
        <is>
          <t>iorta QA (manual, exploratory)</t>
        </is>
      </c>
      <c r="P229" s="16" t="inlineStr"/>
    </row>
    <row r="230">
      <c r="A230" s="15" t="inlineStr">
        <is>
          <t>CS-0229</t>
        </is>
      </c>
      <c r="B230" s="15" t="inlineStr">
        <is>
          <t>TS-39</t>
        </is>
      </c>
      <c r="C230" s="15" t="inlineStr">
        <is>
          <t>TC-123</t>
        </is>
      </c>
      <c r="D230" s="15" t="inlineStr">
        <is>
          <t>DOC</t>
        </is>
      </c>
      <c r="E230" s="16" t="inlineStr">
        <is>
          <t>Registration cannot be approved until the IC copy is uploaded</t>
        </is>
      </c>
      <c r="F230" s="16" t="inlineStr">
        <is>
          <t>ops.checker</t>
        </is>
      </c>
      <c r="G230" s="16" t="inlineStr">
        <is>
          <t>1. As ops.checker GET approvals/inbox
2. POST approvals/{id}/approve before any upload</t>
        </is>
      </c>
      <c r="H230" s="16" t="inlineStr">
        <is>
          <t>AGENT_REGISTRATION of EX-072</t>
        </is>
      </c>
      <c r="I230" s="16" t="inlineStr">
        <is>
          <t>HTTP 422 DOCUMENTS_MISSING before upload</t>
        </is>
      </c>
      <c r="J230" s="15" t="inlineStr">
        <is>
          <t>API</t>
        </is>
      </c>
      <c r="K230" s="16" t="inlineStr">
        <is>
          <t>Executed – API run (tools/testing/api-test-run.mjs)</t>
        </is>
      </c>
      <c r="L230" s="17" t="inlineStr">
        <is>
          <t>Passed</t>
        </is>
      </c>
      <c r="M230" s="16" t="inlineStr">
        <is>
          <t>api-test-run.json EX-073: POST /api/v1/backoffice/approvals/a001a16e-4903-4ee3-bbbd-388b78d5fa27/approve → 422 DOCUMENTS_MISSING – Required documents have not been uploaded [IC_COPY]</t>
        </is>
      </c>
      <c r="N230" s="16" t="inlineStr">
        <is>
          <t>2 Oct 2026 22:13 UTC</t>
        </is>
      </c>
      <c r="O230" s="16" t="inlineStr">
        <is>
          <t>iorta TechNXT QA (API run)</t>
        </is>
      </c>
      <c r="P230" s="16" t="inlineStr"/>
    </row>
    <row r="231">
      <c r="A231" s="15" t="inlineStr">
        <is>
          <t>CS-0230</t>
        </is>
      </c>
      <c r="B231" s="15" t="inlineStr">
        <is>
          <t>TS-39</t>
        </is>
      </c>
      <c r="C231" s="15" t="inlineStr">
        <is>
          <t>TC-124</t>
        </is>
      </c>
      <c r="D231" s="15" t="inlineStr">
        <is>
          <t>DOC</t>
        </is>
      </c>
      <c r="E231" s="16" t="inlineStr">
        <is>
          <t>Document expiry warning</t>
        </is>
      </c>
      <c r="F231" s="16" t="inlineStr">
        <is>
          <t>ops.checker</t>
        </is>
      </c>
      <c r="G231" s="16" t="inlineStr">
        <is>
          <t>1. Upload a licence with an expiry 20 days ahead
2. Check warnings</t>
        </is>
      </c>
      <c r="H231" s="16" t="inlineStr">
        <is>
          <t>document.expiry_warning_days = 30</t>
        </is>
      </c>
      <c r="I231" s="16" t="inlineStr">
        <is>
          <t>Document flagged as expiring</t>
        </is>
      </c>
      <c r="J231" s="15" t="inlineStr">
        <is>
          <t>API</t>
        </is>
      </c>
      <c r="K231" s="16" t="inlineStr">
        <is>
          <t>Not automated</t>
        </is>
      </c>
      <c r="L231" s="18" t="inlineStr">
        <is>
          <t>Not executed</t>
        </is>
      </c>
      <c r="M231" s="16" t="inlineStr">
        <is>
          <t>Not executed – no expiry-driven UI in this build; verified during SIT</t>
        </is>
      </c>
      <c r="N231" s="16" t="inlineStr"/>
      <c r="O231" s="16" t="inlineStr"/>
      <c r="P231" s="16" t="inlineStr"/>
    </row>
    <row r="232">
      <c r="A232" s="15" t="inlineStr">
        <is>
          <t>CS-0231</t>
        </is>
      </c>
      <c r="B232" s="15" t="inlineStr">
        <is>
          <t>TS-40</t>
        </is>
      </c>
      <c r="C232" s="15" t="inlineStr">
        <is>
          <t>TC-125</t>
        </is>
      </c>
      <c r="D232" s="15" t="inlineStr">
        <is>
          <t>DSH</t>
        </is>
      </c>
      <c r="E232" s="16" t="inlineStr">
        <is>
          <t>Management and portal dashboards</t>
        </is>
      </c>
      <c r="F232" s="16" t="inlineStr">
        <is>
          <t>manager, ag-000001</t>
        </is>
      </c>
      <c r="G232" s="16" t="inlineStr">
        <is>
          <t>1. As manager GET /api/v1/backoffice/dashboard
2. As ag-000001 GET /api/v1/portal/dashboard</t>
        </is>
      </c>
      <c r="H232" s="16" t="inlineStr">
        <is>
          <t>Demonstration data</t>
        </is>
      </c>
      <c r="I232" s="16" t="inlineStr">
        <is>
          <t>Back-office dashboard has KPIs and a 12-month trend; portal dashboard has the profile, pending actions and production figures</t>
        </is>
      </c>
      <c r="J232" s="15" t="inlineStr">
        <is>
          <t>API</t>
        </is>
      </c>
      <c r="K232" s="16" t="inlineStr">
        <is>
          <t>Executed – API run (tools/testing/api-test-run.mjs)</t>
        </is>
      </c>
      <c r="L232" s="17" t="inlineStr">
        <is>
          <t>Passed</t>
        </is>
      </c>
      <c r="M232" s="16" t="inlineStr">
        <is>
          <t>api-test-run.json EX-105: GET /api/v1/backoffice/dashboard; GET /api/v1/portal/dashboard → 200 policiesYtd=51 trend=12 | 200 pendingActions=8 keys=profile,counts,pendingActions,monthly,recentActivity</t>
        </is>
      </c>
      <c r="N232" s="16" t="inlineStr">
        <is>
          <t>2 Oct 2026 22:13 UTC</t>
        </is>
      </c>
      <c r="O232" s="16" t="inlineStr">
        <is>
          <t>iorta TechNXT QA (API run)</t>
        </is>
      </c>
      <c r="P232" s="16" t="inlineStr"/>
    </row>
    <row r="233">
      <c r="A233" s="15" t="inlineStr">
        <is>
          <t>CS-0232</t>
        </is>
      </c>
      <c r="B233" s="15" t="inlineStr">
        <is>
          <t>TS-40</t>
        </is>
      </c>
      <c r="C233" s="15" t="inlineStr">
        <is>
          <t>TC-125</t>
        </is>
      </c>
      <c r="D233" s="15" t="inlineStr">
        <is>
          <t>DSH</t>
        </is>
      </c>
      <c r="E233" s="16" t="inlineStr">
        <is>
          <t>Dashboards (suite)</t>
        </is>
      </c>
      <c r="F233" s="16" t="inlineStr">
        <is>
          <t>ag-000001, ops.checker, compliance, support, finance, manager</t>
        </is>
      </c>
      <c r="G233" s="16" t="inlineStr">
        <is>
          <t>1. Run `npm run test:e2e -w apps/api` (rebuilds the iift_test database from the migrations and seeds)
2. GET /backoffice/dashboard; GET /portal/dashboard as bk-000004</t>
        </is>
      </c>
      <c r="H233" s="16" t="inlineStr">
        <is>
          <t>manager, bk-000004</t>
        </is>
      </c>
      <c r="I233" s="16" t="inlineStr">
        <is>
          <t>policiesYtd &gt; 0; 12 trend points; issuanceBlocked true with AGENCY_BLOCKED pending action</t>
        </is>
      </c>
      <c r="J233" s="15" t="inlineStr">
        <is>
          <t>E2E</t>
        </is>
      </c>
      <c r="K233" s="16" t="inlineStr">
        <is>
          <t>Automated – apps/api/test/operations.e2e-spec.ts › serves the dashboards (AP-52/53, BO-20/21)</t>
        </is>
      </c>
      <c r="L233" s="17" t="inlineStr">
        <is>
          <t>Passed</t>
        </is>
      </c>
      <c r="M233" s="16" t="inlineStr">
        <is>
          <t>api-e2e-tests.json: 'Back-office operations serves the dashboards (AP-52/53, BO-20/21)' passed (2 Oct 2026 14:55 UTC); test-reruns.json: passed (2 Oct 2026 22:00 UTC)</t>
        </is>
      </c>
      <c r="N233" s="16" t="inlineStr">
        <is>
          <t>2 Oct 2026 22:00 UTC</t>
        </is>
      </c>
      <c r="O233" s="16" t="inlineStr">
        <is>
          <t>iorta QA (Vitest e2e, iift_test database)</t>
        </is>
      </c>
      <c r="P233" s="16" t="inlineStr"/>
    </row>
    <row r="234">
      <c r="A234" s="15" t="inlineStr">
        <is>
          <t>CS-0233</t>
        </is>
      </c>
      <c r="B234" s="15" t="inlineStr">
        <is>
          <t>TS-40</t>
        </is>
      </c>
      <c r="C234" s="15" t="inlineStr">
        <is>
          <t>TC-125</t>
        </is>
      </c>
      <c r="D234" s="15" t="inlineStr">
        <is>
          <t>DSH</t>
        </is>
      </c>
      <c r="E234" s="16" t="inlineStr">
        <is>
          <t>Portal dashboard at desktop and mobile widths</t>
        </is>
      </c>
      <c r="F234" s="16" t="inlineStr">
        <is>
          <t>ag-000001</t>
        </is>
      </c>
      <c r="G234" s="16" t="inlineStr">
        <is>
          <t>1. Open the dashboard at 1280 and 390 px
2. Open the mobile navigation</t>
        </is>
      </c>
      <c r="H234" s="16" t="inlineStr">
        <is>
          <t>Demonstration data</t>
        </is>
      </c>
      <c r="I234" s="16" t="inlineStr">
        <is>
          <t>Cards, pending actions and navigation usable at both widths</t>
        </is>
      </c>
      <c r="J234" s="15" t="inlineStr">
        <is>
          <t>UI</t>
        </is>
      </c>
      <c r="K234" s="16" t="inlineStr">
        <is>
          <t>Manual (exploratory)</t>
        </is>
      </c>
      <c r="L234" s="17" t="inlineStr">
        <is>
          <t>Passed</t>
        </is>
      </c>
      <c r="M234" s="16" t="inlineStr">
        <is>
          <t>Screens: ui-portal-dashboard-1280.png, ui-portal-dashboard-390.png, ui-mobile-nav.png (evidence/ui-screens)</t>
        </is>
      </c>
      <c r="N234" s="16" t="inlineStr">
        <is>
          <t>2 Oct 2026</t>
        </is>
      </c>
      <c r="O234" s="16" t="inlineStr">
        <is>
          <t>iorta QA (manual, exploratory)</t>
        </is>
      </c>
      <c r="P234" s="16" t="inlineStr"/>
    </row>
    <row r="235">
      <c r="A235" s="15" t="inlineStr">
        <is>
          <t>CS-0234</t>
        </is>
      </c>
      <c r="B235" s="15" t="inlineStr">
        <is>
          <t>TS-40</t>
        </is>
      </c>
      <c r="C235" s="15" t="inlineStr">
        <is>
          <t>TC-126</t>
        </is>
      </c>
      <c r="D235" s="15" t="inlineStr">
        <is>
          <t>DSH</t>
        </is>
      </c>
      <c r="E235" s="16" t="inlineStr">
        <is>
          <t>Back-office pending-action view: approvals inbox and document queue</t>
        </is>
      </c>
      <c r="F235" s="16" t="inlineStr">
        <is>
          <t>ops.checker</t>
        </is>
      </c>
      <c r="G235" s="16" t="inlineStr">
        <is>
          <t>1. As ops.checker GET approvals/inbox
2. GET /api/v1/backoffice/documents?status=UPLOADED</t>
        </is>
      </c>
      <c r="H235" s="16" t="inlineStr">
        <is>
          <t>Checker permissions</t>
        </is>
      </c>
      <c r="I235" s="16" t="inlineStr">
        <is>
          <t>GET approvals/inbox → 200 with items for the checker’s permissions; GET /backoffice/documents?status=UPLOADED → 200</t>
        </is>
      </c>
      <c r="J235" s="15" t="inlineStr">
        <is>
          <t>API</t>
        </is>
      </c>
      <c r="K235" s="16" t="inlineStr">
        <is>
          <t>Executed – API run (tools/testing/api-test-run.mjs)</t>
        </is>
      </c>
      <c r="L235" s="17" t="inlineStr">
        <is>
          <t>Passed</t>
        </is>
      </c>
      <c r="M235" s="16" t="inlineStr">
        <is>
          <t>api-test-run.json EX-106: GET /api/v1/backoffice/approvals/inbox; GET /api/v1/backoffice/documents?status=UPLOADED → 200 total=7 | 200 total=139</t>
        </is>
      </c>
      <c r="N235" s="16" t="inlineStr">
        <is>
          <t>2 Oct 2026 22:13 UTC</t>
        </is>
      </c>
      <c r="O235" s="16" t="inlineStr">
        <is>
          <t>iorta TechNXT QA (API run)</t>
        </is>
      </c>
      <c r="P235" s="16" t="inlineStr"/>
    </row>
    <row r="236">
      <c r="A236" s="15" t="inlineStr">
        <is>
          <t>CS-0235</t>
        </is>
      </c>
      <c r="B236" s="15" t="inlineStr">
        <is>
          <t>TS-40</t>
        </is>
      </c>
      <c r="C236" s="15" t="inlineStr">
        <is>
          <t>TC-126</t>
        </is>
      </c>
      <c r="D236" s="15" t="inlineStr">
        <is>
          <t>DSH</t>
        </is>
      </c>
      <c r="E236" s="16" t="inlineStr">
        <is>
          <t>Back-office dashboards and inbox</t>
        </is>
      </c>
      <c r="F236" s="16" t="inlineStr">
        <is>
          <t>manager, ops.maker</t>
        </is>
      </c>
      <c r="G236" s="16" t="inlineStr">
        <is>
          <t>1. Open the dashboard as manager and as ops.maker
2. Open Approvals</t>
        </is>
      </c>
      <c r="H236" s="16" t="inlineStr">
        <is>
          <t>Demonstration data</t>
        </is>
      </c>
      <c r="I236" s="16" t="inlineStr">
        <is>
          <t>KPIs and trend; pending actions per role</t>
        </is>
      </c>
      <c r="J236" s="15" t="inlineStr">
        <is>
          <t>UI</t>
        </is>
      </c>
      <c r="K236" s="16" t="inlineStr">
        <is>
          <t>Manual (exploratory)</t>
        </is>
      </c>
      <c r="L236" s="17" t="inlineStr">
        <is>
          <t>Passed</t>
        </is>
      </c>
      <c r="M236" s="16" t="inlineStr">
        <is>
          <t>Screens: ui-bo-dashboard.png, ui-bo-dashboard-opsmaker.png, b-bo-inbox.png, ui-approvals-all.png (evidence/ui-screens)</t>
        </is>
      </c>
      <c r="N236" s="16" t="inlineStr">
        <is>
          <t>2 Oct 2026</t>
        </is>
      </c>
      <c r="O236" s="16" t="inlineStr">
        <is>
          <t>iorta QA (manual, exploratory)</t>
        </is>
      </c>
      <c r="P236" s="16" t="inlineStr"/>
    </row>
    <row r="237">
      <c r="A237" s="15" t="inlineStr">
        <is>
          <t>CS-0236</t>
        </is>
      </c>
      <c r="B237" s="15" t="inlineStr">
        <is>
          <t>TS-41</t>
        </is>
      </c>
      <c r="C237" s="15" t="inlineStr">
        <is>
          <t>TC-127</t>
        </is>
      </c>
      <c r="D237" s="15" t="inlineStr">
        <is>
          <t>DSH</t>
        </is>
      </c>
      <c r="E237" s="16" t="inlineStr">
        <is>
          <t>In-app notifications: list, unread count, mark one and mark all read</t>
        </is>
      </c>
      <c r="F237" s="16" t="inlineStr">
        <is>
          <t>ag-000001</t>
        </is>
      </c>
      <c r="G237" s="16" t="inlineStr">
        <is>
          <t>1. As ag-000001 GET /api/v1/common/notifications
2. GET unread-count
3. POST {id}/read
4. POST read-all
5. GET unread-count</t>
        </is>
      </c>
      <c r="H237" s="16" t="inlineStr">
        <is>
          <t>Notifications from the run</t>
        </is>
      </c>
      <c r="I237" s="16" t="inlineStr">
        <is>
          <t>GET notifications → 200 items with policy/approval events; unread-count → 200; POST {id}/read → 200/204; read-all → 204 and unread-count 0</t>
        </is>
      </c>
      <c r="J237" s="15" t="inlineStr">
        <is>
          <t>API</t>
        </is>
      </c>
      <c r="K237" s="16" t="inlineStr">
        <is>
          <t>Executed – API run (tools/testing/api-test-run.mjs)</t>
        </is>
      </c>
      <c r="L237" s="17" t="inlineStr">
        <is>
          <t>Passed</t>
        </is>
      </c>
      <c r="M237" s="16" t="inlineStr">
        <is>
          <t>api-test-run.json EX-128: GET /api/v1/common/notifications; GET unread-count; POST {id}/read; POST read-all → 200 items=20 | before {"count":12} | 204 | 204 | after {"count":0}</t>
        </is>
      </c>
      <c r="N237" s="16" t="inlineStr">
        <is>
          <t>2 Oct 2026 22:14 UTC</t>
        </is>
      </c>
      <c r="O237" s="16" t="inlineStr">
        <is>
          <t>iorta TechNXT QA (API run)</t>
        </is>
      </c>
      <c r="P237" s="16" t="inlineStr"/>
    </row>
    <row r="238">
      <c r="A238" s="15" t="inlineStr">
        <is>
          <t>CS-0237</t>
        </is>
      </c>
      <c r="B238" s="15" t="inlineStr">
        <is>
          <t>TS-41</t>
        </is>
      </c>
      <c r="C238" s="15" t="inlineStr">
        <is>
          <t>TC-127</t>
        </is>
      </c>
      <c r="D238" s="15" t="inlineStr">
        <is>
          <t>DSH</t>
        </is>
      </c>
      <c r="E238" s="16" t="inlineStr">
        <is>
          <t>Notification centre</t>
        </is>
      </c>
      <c r="F238" s="16" t="inlineStr">
        <is>
          <t>ag-000001, manager</t>
        </is>
      </c>
      <c r="G238" s="16" t="inlineStr">
        <is>
          <t>1. Open notifications in the portal and the back-office
2. Mark as read</t>
        </is>
      </c>
      <c r="H238" s="16" t="inlineStr">
        <is>
          <t>Run events</t>
        </is>
      </c>
      <c r="I238" s="16" t="inlineStr">
        <is>
          <t>Unread count and list; links open the record</t>
        </is>
      </c>
      <c r="J238" s="15" t="inlineStr">
        <is>
          <t>UI</t>
        </is>
      </c>
      <c r="K238" s="16" t="inlineStr">
        <is>
          <t>Manual (exploratory)</t>
        </is>
      </c>
      <c r="L238" s="17" t="inlineStr">
        <is>
          <t>Passed</t>
        </is>
      </c>
      <c r="M238" s="16" t="inlineStr">
        <is>
          <t>Screens: ui-notifications.png, b-bo-notifications.png, b-final-pnotif.png (evidence/ui-screens)</t>
        </is>
      </c>
      <c r="N238" s="16" t="inlineStr">
        <is>
          <t>2 Oct 2026</t>
        </is>
      </c>
      <c r="O238" s="16" t="inlineStr">
        <is>
          <t>iorta QA (manual, exploratory)</t>
        </is>
      </c>
      <c r="P238" s="16" t="inlineStr"/>
    </row>
    <row r="239">
      <c r="A239" s="15" t="inlineStr">
        <is>
          <t>CS-0238</t>
        </is>
      </c>
      <c r="B239" s="15" t="inlineStr">
        <is>
          <t>TS-41</t>
        </is>
      </c>
      <c r="C239" s="15" t="inlineStr">
        <is>
          <t>TC-128</t>
        </is>
      </c>
      <c r="D239" s="15" t="inlineStr">
        <is>
          <t>DSH</t>
        </is>
      </c>
      <c r="E239" s="16" t="inlineStr">
        <is>
          <t>E-mail and SMS delivery through IIFT gateways</t>
        </is>
      </c>
      <c r="F239" s="16" t="inlineStr">
        <is>
          <t>System</t>
        </is>
      </c>
      <c r="G239" s="16" t="inlineStr">
        <is>
          <t>1. Configure SMTP_HOST and SMS_API_BASE_URL
2. Trigger a notification</t>
        </is>
      </c>
      <c r="H239" s="16" t="inlineStr">
        <is>
          <t>IITH relay, SMS provider</t>
        </is>
      </c>
      <c r="I239" s="16" t="inlineStr">
        <is>
          <t>Message delivered; integration log success</t>
        </is>
      </c>
      <c r="J239" s="15" t="inlineStr">
        <is>
          <t>SIT</t>
        </is>
      </c>
      <c r="K239" s="16" t="inlineStr">
        <is>
          <t>Not automated</t>
        </is>
      </c>
      <c r="L239" s="18" t="inlineStr">
        <is>
          <t>Not executed</t>
        </is>
      </c>
      <c r="M239" s="16" t="inlineStr">
        <is>
          <t>Not executed – requires IIFT environment (SMTP and SMS endpoints)</t>
        </is>
      </c>
      <c r="N239" s="16" t="inlineStr"/>
      <c r="O239" s="16" t="inlineStr"/>
      <c r="P239" s="16" t="inlineStr"/>
    </row>
    <row r="240">
      <c r="A240" s="15" t="inlineStr">
        <is>
          <t>CS-0239</t>
        </is>
      </c>
      <c r="B240" s="15" t="inlineStr">
        <is>
          <t>TS-42</t>
        </is>
      </c>
      <c r="C240" s="15" t="inlineStr">
        <is>
          <t>TC-129</t>
        </is>
      </c>
      <c r="D240" s="15" t="inlineStr">
        <is>
          <t>ISS</t>
        </is>
      </c>
      <c r="E240" s="16" t="inlineStr">
        <is>
          <t>Agent reports an issue and receives a reference and SLA targets</t>
        </is>
      </c>
      <c r="F240" s="16" t="inlineStr">
        <is>
          <t>ag-000002</t>
        </is>
      </c>
      <c r="G240" s="16" t="inlineStr">
        <is>
          <t>1. As ag-000002 POST /api/v1/common/issues priority HIGH
2. Compare responseDueAt and resolutionDueAt with createdAt</t>
        </is>
      </c>
      <c r="H240" s="16" t="inlineStr">
        <is>
          <t>sla.high.response_hours 2, resolution 24</t>
        </is>
      </c>
      <c r="I240" s="16" t="inlineStr">
        <is>
          <t>HTTP 201; issueNo IS/yy/nnnnnn; HIGH priority → responseDueAt = created + 2 h, resolutionDueAt = created + 24 h</t>
        </is>
      </c>
      <c r="J240" s="15" t="inlineStr">
        <is>
          <t>API</t>
        </is>
      </c>
      <c r="K240" s="16" t="inlineStr">
        <is>
          <t>Executed – API run (tools/testing/api-test-run.mjs)</t>
        </is>
      </c>
      <c r="L240" s="17" t="inlineStr">
        <is>
          <t>Passed</t>
        </is>
      </c>
      <c r="M240" s="16" t="inlineStr">
        <is>
          <t>api-test-run.json EX-090: POST /api/v1/common/issues (HIGH) → 201 IS/26/000007 OPEN response+2h resolution+24h</t>
        </is>
      </c>
      <c r="N240" s="16" t="inlineStr">
        <is>
          <t>2 Oct 2026 22:13 UTC</t>
        </is>
      </c>
      <c r="O240" s="16" t="inlineStr">
        <is>
          <t>iorta TechNXT QA (API run)</t>
        </is>
      </c>
      <c r="P240" s="16" t="inlineStr"/>
    </row>
    <row r="241">
      <c r="A241" s="15" t="inlineStr">
        <is>
          <t>CS-0240</t>
        </is>
      </c>
      <c r="B241" s="15" t="inlineStr">
        <is>
          <t>TS-42</t>
        </is>
      </c>
      <c r="C241" s="15" t="inlineStr">
        <is>
          <t>TC-129</t>
        </is>
      </c>
      <c r="D241" s="15" t="inlineStr">
        <is>
          <t>ISS</t>
        </is>
      </c>
      <c r="E241" s="16" t="inlineStr">
        <is>
          <t>Issue reported from the portal and tracked</t>
        </is>
      </c>
      <c r="F241" s="16" t="inlineStr">
        <is>
          <t>ag-000001</t>
        </is>
      </c>
      <c r="G241" s="16" t="inlineStr">
        <is>
          <t>1. Support → Report issue
2. Submit with missing fields
3. Submit
4. Open the issue</t>
        </is>
      </c>
      <c r="H241" s="16" t="inlineStr">
        <is>
          <t>HIGH issue</t>
        </is>
      </c>
      <c r="I241" s="16" t="inlineStr">
        <is>
          <t>Validation; issue number and SLA targets shown</t>
        </is>
      </c>
      <c r="J241" s="15" t="inlineStr">
        <is>
          <t>UI</t>
        </is>
      </c>
      <c r="K241" s="16" t="inlineStr">
        <is>
          <t>Manual (exploratory)</t>
        </is>
      </c>
      <c r="L241" s="17" t="inlineStr">
        <is>
          <t>Passed</t>
        </is>
      </c>
      <c r="M241" s="16" t="inlineStr">
        <is>
          <t>Screens: b-issues-portal.png, b-flow-issue-validation.png, b-flow-issue-created.png, b-flow-issue-detail.png (evidence/ui-screens)</t>
        </is>
      </c>
      <c r="N241" s="16" t="inlineStr">
        <is>
          <t>2 Oct 2026</t>
        </is>
      </c>
      <c r="O241" s="16" t="inlineStr">
        <is>
          <t>iorta QA (manual, exploratory)</t>
        </is>
      </c>
      <c r="P241" s="16" t="inlineStr"/>
    </row>
    <row r="242">
      <c r="A242" s="15" t="inlineStr">
        <is>
          <t>CS-0241</t>
        </is>
      </c>
      <c r="B242" s="15" t="inlineStr">
        <is>
          <t>TS-42</t>
        </is>
      </c>
      <c r="C242" s="15" t="inlineStr">
        <is>
          <t>TC-130</t>
        </is>
      </c>
      <c r="D242" s="15" t="inlineStr">
        <is>
          <t>ISS</t>
        </is>
      </c>
      <c r="E242" s="16" t="inlineStr">
        <is>
          <t>Support assigns the issue and changes the priority; SLA targets are recomputed</t>
        </is>
      </c>
      <c r="F242" s="16" t="inlineStr">
        <is>
          <t>support</t>
        </is>
      </c>
      <c r="G242" s="16" t="inlineStr">
        <is>
          <t>1. As support GET /api/v1/backoffice/issues/assignees
2. PUT issues/{id}/assignment
3. PUT issues/{id}/priority CRITICAL</t>
        </is>
      </c>
      <c r="H242" s="16" t="inlineStr">
        <is>
          <t>Issue of EX-090; sla.critical.response_hours 1</t>
        </is>
      </c>
      <c r="I242" s="16" t="inlineStr">
        <is>
          <t>PUT assignment → 200 status ASSIGNED; PUT priority CRITICAL → 200 with responseDueAt = now + 1 h</t>
        </is>
      </c>
      <c r="J242" s="15" t="inlineStr">
        <is>
          <t>API</t>
        </is>
      </c>
      <c r="K242" s="16" t="inlineStr">
        <is>
          <t>Executed – API run (tools/testing/api-test-run.mjs)</t>
        </is>
      </c>
      <c r="L242" s="17" t="inlineStr">
        <is>
          <t>Passed</t>
        </is>
      </c>
      <c r="M242" s="16" t="inlineStr">
        <is>
          <t>api-test-run.json EX-091: PUT /api/v1/backoffice/issues/24c6efa5-7183-4b64-8b0b-940c1cfe1c63/assignment; PUT …/priority → 200 ASSIGNED | 200 CRITICAL response in 1.00 h</t>
        </is>
      </c>
      <c r="N242" s="16" t="inlineStr">
        <is>
          <t>2 Oct 2026 22:13 UTC</t>
        </is>
      </c>
      <c r="O242" s="16" t="inlineStr">
        <is>
          <t>iorta TechNXT QA (API run)</t>
        </is>
      </c>
      <c r="P242" s="16" t="inlineStr"/>
    </row>
    <row r="243">
      <c r="A243" s="15" t="inlineStr">
        <is>
          <t>CS-0242</t>
        </is>
      </c>
      <c r="B243" s="15" t="inlineStr">
        <is>
          <t>TS-42</t>
        </is>
      </c>
      <c r="C243" s="15" t="inlineStr">
        <is>
          <t>TC-131</t>
        </is>
      </c>
      <c r="D243" s="15" t="inlineStr">
        <is>
          <t>ISS</t>
        </is>
      </c>
      <c r="E243" s="16" t="inlineStr">
        <is>
          <t>Internal comments stay hidden from the reporter; resolution needs a description</t>
        </is>
      </c>
      <c r="F243" s="16" t="inlineStr">
        <is>
          <t>support, ag-000002</t>
        </is>
      </c>
      <c r="G243" s="16" t="inlineStr">
        <is>
          <t>1. POST two comments (internal, public)
2. PUT status RESOLVED without resolution
3. PUT RESOLVED with resolution
4. As ag-000002 GET the issue</t>
        </is>
      </c>
      <c r="H243" s="16" t="inlineStr">
        <is>
          <t>Issue of EX-090</t>
        </is>
      </c>
      <c r="I243" s="16" t="inlineStr">
        <is>
          <t>Two comments (one internal); reporter sees one; RESOLVED without resolution → 422 RESOLUTION_REQUIRED; with resolution → 200</t>
        </is>
      </c>
      <c r="J243" s="15" t="inlineStr">
        <is>
          <t>API</t>
        </is>
      </c>
      <c r="K243" s="16" t="inlineStr">
        <is>
          <t>Executed – API run (tools/testing/api-test-run.mjs)</t>
        </is>
      </c>
      <c r="L243" s="17" t="inlineStr">
        <is>
          <t>Passed</t>
        </is>
      </c>
      <c r="M243" s="16" t="inlineStr">
        <is>
          <t>api-test-run.json EX-092: POST /api/v1/common/issues/24c6efa5-7183-4b64-8b0b-940c1cfe1c63/comments ×2; PUT …/status → 422 RESOLUTION_REQUIRED – Describe the resolution | 200 | reporter sees comments internal=[false] status=RESOLVED</t>
        </is>
      </c>
      <c r="N243" s="16" t="inlineStr">
        <is>
          <t>2 Oct 2026 22:13 UTC</t>
        </is>
      </c>
      <c r="O243" s="16" t="inlineStr">
        <is>
          <t>iorta TechNXT QA (API run)</t>
        </is>
      </c>
      <c r="P243" s="16" t="inlineStr"/>
    </row>
    <row r="244">
      <c r="A244" s="15" t="inlineStr">
        <is>
          <t>CS-0243</t>
        </is>
      </c>
      <c r="B244" s="15" t="inlineStr">
        <is>
          <t>TS-42</t>
        </is>
      </c>
      <c r="C244" s="15" t="inlineStr">
        <is>
          <t>TC-131</t>
        </is>
      </c>
      <c r="D244" s="15" t="inlineStr">
        <is>
          <t>ISS</t>
        </is>
      </c>
      <c r="E244" s="16" t="inlineStr">
        <is>
          <t>Reporter closes the resolved issue; the issue list filters by status</t>
        </is>
      </c>
      <c r="F244" s="16" t="inlineStr">
        <is>
          <t>ag-000002</t>
        </is>
      </c>
      <c r="G244" s="16" t="inlineStr">
        <is>
          <t>1. As ag-000002 PUT status CLOSED
2. GET /api/v1/common/issues?status=CLOSED</t>
        </is>
      </c>
      <c r="H244" s="16" t="inlineStr">
        <is>
          <t>Issue of EX-090</t>
        </is>
      </c>
      <c r="I244" s="16" t="inlineStr">
        <is>
          <t>PUT status CLOSED → 200; GET /common/issues?status=CLOSED lists it</t>
        </is>
      </c>
      <c r="J244" s="15" t="inlineStr">
        <is>
          <t>API</t>
        </is>
      </c>
      <c r="K244" s="16" t="inlineStr">
        <is>
          <t>Executed – API run (tools/testing/api-test-run.mjs)</t>
        </is>
      </c>
      <c r="L244" s="17" t="inlineStr">
        <is>
          <t>Passed</t>
        </is>
      </c>
      <c r="M244" s="16" t="inlineStr">
        <is>
          <t>api-test-run.json EX-093: PUT /api/v1/common/issues/24c6efa5-7183-4b64-8b0b-940c1cfe1c63/status (CLOSED); GET /api/v1/common/issues?status=CLOSED → 200 CLOSED | listed=true</t>
        </is>
      </c>
      <c r="N244" s="16" t="inlineStr">
        <is>
          <t>2 Oct 2026 22:13 UTC</t>
        </is>
      </c>
      <c r="O244" s="16" t="inlineStr">
        <is>
          <t>iorta TechNXT QA (API run)</t>
        </is>
      </c>
      <c r="P244" s="16" t="inlineStr"/>
    </row>
    <row r="245">
      <c r="A245" s="15" t="inlineStr">
        <is>
          <t>CS-0244</t>
        </is>
      </c>
      <c r="B245" s="15" t="inlineStr">
        <is>
          <t>TS-42</t>
        </is>
      </c>
      <c r="C245" s="15" t="inlineStr">
        <is>
          <t>TC-131</t>
        </is>
      </c>
      <c r="D245" s="15" t="inlineStr">
        <is>
          <t>ISS</t>
        </is>
      </c>
      <c r="E245" s="16" t="inlineStr">
        <is>
          <t>Issue lifecycle with SLA dates (suite)</t>
        </is>
      </c>
      <c r="F245" s="16" t="inlineStr">
        <is>
          <t>ag-000001, ops.checker, compliance, support, finance, manager</t>
        </is>
      </c>
      <c r="G245" s="16" t="inlineStr">
        <is>
          <t>1. Run `npm run test:e2e -w apps/api` (rebuilds the iift_test database from the migrations and seeds)
2. Create HIGH issue; assign; comments; resolve without/with resolution; reporter closes</t>
        </is>
      </c>
      <c r="H245" s="16" t="inlineStr">
        <is>
          <t>responseDueAt = +2 h</t>
        </is>
      </c>
      <c r="I245" s="16" t="inlineStr">
        <is>
          <t>201; 200; 422; 200; reporter sees public comment only; CLOSED</t>
        </is>
      </c>
      <c r="J245" s="15" t="inlineStr">
        <is>
          <t>E2E</t>
        </is>
      </c>
      <c r="K245" s="16" t="inlineStr">
        <is>
          <t>Automated – apps/api/test/operations.e2e-spec.ts › manages an issue through assignment, comments and resolution with SLA dates (AP-55..57, BO-29..31)</t>
        </is>
      </c>
      <c r="L245" s="17" t="inlineStr">
        <is>
          <t>Passed</t>
        </is>
      </c>
      <c r="M245" s="16" t="inlineStr">
        <is>
          <t>api-e2e-tests.json: 'Back-office operations manages an issue through assignment, comments and resolution with SLA dates (AP-55..57, BO-29..31)' passed (2 Oct 2026 14:55 UTC); test-reruns.json: passed (2 Oct 2026 22:00 UTC)</t>
        </is>
      </c>
      <c r="N245" s="16" t="inlineStr">
        <is>
          <t>2 Oct 2026 22:00 UTC</t>
        </is>
      </c>
      <c r="O245" s="16" t="inlineStr">
        <is>
          <t>iorta QA (Vitest e2e, iift_test database)</t>
        </is>
      </c>
      <c r="P245" s="16" t="inlineStr"/>
    </row>
    <row r="246">
      <c r="A246" s="15" t="inlineStr">
        <is>
          <t>CS-0245</t>
        </is>
      </c>
      <c r="B246" s="15" t="inlineStr">
        <is>
          <t>TS-42</t>
        </is>
      </c>
      <c r="C246" s="15" t="inlineStr">
        <is>
          <t>TC-131</t>
        </is>
      </c>
      <c r="D246" s="15" t="inlineStr">
        <is>
          <t>ISS</t>
        </is>
      </c>
      <c r="E246" s="16" t="inlineStr">
        <is>
          <t>Issue resolved and closed with SLA view</t>
        </is>
      </c>
      <c r="F246" s="16" t="inlineStr">
        <is>
          <t>support, ag-000001</t>
        </is>
      </c>
      <c r="G246" s="16" t="inlineStr">
        <is>
          <t>1. Back-office Issues → open
2. Resolve without text
3. Resolve with text
4. Reporter sees the resolution and closes</t>
        </is>
      </c>
      <c r="H246" s="16" t="inlineStr">
        <is>
          <t>Issue above</t>
        </is>
      </c>
      <c r="I246" s="16" t="inlineStr">
        <is>
          <t>Validation on empty resolution; resolved; closed</t>
        </is>
      </c>
      <c r="J246" s="15" t="inlineStr">
        <is>
          <t>UI</t>
        </is>
      </c>
      <c r="K246" s="16" t="inlineStr">
        <is>
          <t>Manual (exploratory)</t>
        </is>
      </c>
      <c r="L246" s="17" t="inlineStr">
        <is>
          <t>Passed</t>
        </is>
      </c>
      <c r="M246" s="16" t="inlineStr">
        <is>
          <t>Screens: b-flow-issue-resolve-validation.png, b-flow-issue-resolved.png, b-flow-issue-reporter-resolved.png, b-flow-issue-closed.png (evidence/ui-screens)</t>
        </is>
      </c>
      <c r="N246" s="16" t="inlineStr">
        <is>
          <t>2 Oct 2026</t>
        </is>
      </c>
      <c r="O246" s="16" t="inlineStr">
        <is>
          <t>iorta QA (manual, exploratory)</t>
        </is>
      </c>
      <c r="P246" s="16" t="inlineStr"/>
    </row>
    <row r="247">
      <c r="A247" s="15" t="inlineStr">
        <is>
          <t>CS-0246</t>
        </is>
      </c>
      <c r="B247" s="15" t="inlineStr">
        <is>
          <t>TS-42</t>
        </is>
      </c>
      <c r="C247" s="15" t="inlineStr">
        <is>
          <t>TC-132</t>
        </is>
      </c>
      <c r="D247" s="15" t="inlineStr">
        <is>
          <t>ISS</t>
        </is>
      </c>
      <c r="E247" s="16" t="inlineStr">
        <is>
          <t>SLA-breached issues highlighted</t>
        </is>
      </c>
      <c r="F247" s="16" t="inlineStr">
        <is>
          <t>support</t>
        </is>
      </c>
      <c r="G247" s="16" t="inlineStr">
        <is>
          <t>1. Open Issues with the 'breached' filter</t>
        </is>
      </c>
      <c r="H247" s="16" t="inlineStr">
        <is>
          <t>Seeded breached issue</t>
        </is>
      </c>
      <c r="I247" s="16" t="inlineStr">
        <is>
          <t>Breached issues listed with the missed target</t>
        </is>
      </c>
      <c r="J247" s="15" t="inlineStr">
        <is>
          <t>UI</t>
        </is>
      </c>
      <c r="K247" s="16" t="inlineStr">
        <is>
          <t>Manual (exploratory)</t>
        </is>
      </c>
      <c r="L247" s="17" t="inlineStr">
        <is>
          <t>Passed</t>
        </is>
      </c>
      <c r="M247" s="16" t="inlineStr">
        <is>
          <t>Screens: b-flow-bo-issues-breached.png (evidence/ui-screens)</t>
        </is>
      </c>
      <c r="N247" s="16" t="inlineStr">
        <is>
          <t>2 Oct 2026</t>
        </is>
      </c>
      <c r="O247" s="16" t="inlineStr">
        <is>
          <t>iorta QA (manual, exploratory)</t>
        </is>
      </c>
      <c r="P247" s="16" t="inlineStr"/>
    </row>
    <row r="248">
      <c r="A248" s="15" t="inlineStr">
        <is>
          <t>CS-0247</t>
        </is>
      </c>
      <c r="B248" s="15" t="inlineStr">
        <is>
          <t>TS-42</t>
        </is>
      </c>
      <c r="C248" s="15" t="inlineStr">
        <is>
          <t>TC-133</t>
        </is>
      </c>
      <c r="D248" s="15" t="inlineStr">
        <is>
          <t>ISS</t>
        </is>
      </c>
      <c r="E248" s="16" t="inlineStr">
        <is>
          <t>Attachments on issues</t>
        </is>
      </c>
      <c r="F248" s="16" t="inlineStr">
        <is>
          <t>ag-000001</t>
        </is>
      </c>
      <c r="G248" s="16" t="inlineStr">
        <is>
          <t>1. Report an issue
2. Attach a screenshot</t>
        </is>
      </c>
      <c r="H248" s="16" t="inlineStr">
        <is>
          <t>PNG</t>
        </is>
      </c>
      <c r="I248" s="16" t="inlineStr">
        <is>
          <t>Attachment listed on the issue</t>
        </is>
      </c>
      <c r="J248" s="15" t="inlineStr">
        <is>
          <t>UI</t>
        </is>
      </c>
      <c r="K248" s="16" t="inlineStr">
        <is>
          <t>Not automated</t>
        </is>
      </c>
      <c r="L248" s="18" t="inlineStr">
        <is>
          <t>Not executed</t>
        </is>
      </c>
      <c r="M248" s="16" t="inlineStr">
        <is>
          <t>Not executed – UI under restyling at the time of the run; API upload path covered by TC-119</t>
        </is>
      </c>
      <c r="N248" s="16" t="inlineStr"/>
      <c r="O248" s="16" t="inlineStr"/>
      <c r="P248" s="16" t="inlineStr"/>
    </row>
    <row r="249">
      <c r="A249" s="15" t="inlineStr">
        <is>
          <t>CS-0248</t>
        </is>
      </c>
      <c r="B249" s="15" t="inlineStr">
        <is>
          <t>TS-43</t>
        </is>
      </c>
      <c r="C249" s="15" t="inlineStr">
        <is>
          <t>TC-134</t>
        </is>
      </c>
      <c r="D249" s="15" t="inlineStr">
        <is>
          <t>RPT</t>
        </is>
      </c>
      <c r="E249" s="16" t="inlineStr">
        <is>
          <t>Every standard report runs</t>
        </is>
      </c>
      <c r="F249" s="16" t="inlineStr">
        <is>
          <t>manager</t>
        </is>
      </c>
      <c r="G249" s="16" t="inlineStr">
        <is>
          <t>1. GET /api/v1/backoffice/reports/{code} for each of the 12 codes with a date range</t>
        </is>
      </c>
      <c r="H249" s="16" t="inlineStr">
        <is>
          <t>Demonstration data</t>
        </is>
      </c>
      <c r="I249" s="16" t="inlineStr">
        <is>
          <t>HTTP 200 with a rows array for each of the 12 reports</t>
        </is>
      </c>
      <c r="J249" s="15" t="inlineStr">
        <is>
          <t>API</t>
        </is>
      </c>
      <c r="K249" s="16" t="inlineStr">
        <is>
          <t>Executed – API run (tools/testing/api-test-run.mjs)</t>
        </is>
      </c>
      <c r="L249" s="17" t="inlineStr">
        <is>
          <t>Passed</t>
        </is>
      </c>
      <c r="M249" s="16" t="inlineStr">
        <is>
          <t>api-test-run.json EX-101: GET /api/v1/backoffice/reports/{code} for every report → 12 reports returned rows</t>
        </is>
      </c>
      <c r="N249" s="16" t="inlineStr">
        <is>
          <t>2 Oct 2026 22:13 UTC</t>
        </is>
      </c>
      <c r="O249" s="16" t="inlineStr">
        <is>
          <t>iorta TechNXT QA (API run)</t>
        </is>
      </c>
      <c r="P249" s="16" t="inlineStr"/>
    </row>
    <row r="250">
      <c r="A250" s="15" t="inlineStr">
        <is>
          <t>CS-0249</t>
        </is>
      </c>
      <c r="B250" s="15" t="inlineStr">
        <is>
          <t>TS-43</t>
        </is>
      </c>
      <c r="C250" s="15" t="inlineStr">
        <is>
          <t>TC-134</t>
        </is>
      </c>
      <c r="D250" s="15" t="inlineStr">
        <is>
          <t>RPT</t>
        </is>
      </c>
      <c r="E250" s="16" t="inlineStr">
        <is>
          <t>Standard report catalogue and filtered preview</t>
        </is>
      </c>
      <c r="F250" s="16" t="inlineStr">
        <is>
          <t>manager</t>
        </is>
      </c>
      <c r="G250" s="16" t="inlineStr">
        <is>
          <t>1. As manager GET /api/v1/backoffice/reports
2. GET reports/POLICY_REGISTER?from=2025-01-01&amp;to=today</t>
        </is>
      </c>
      <c r="H250" s="16" t="inlineStr">
        <is>
          <t>Demonstration data</t>
        </is>
      </c>
      <c r="I250" s="16" t="inlineStr">
        <is>
          <t>12 reports; POLICY_REGISTER preview with a date range returns rows and columns</t>
        </is>
      </c>
      <c r="J250" s="15" t="inlineStr">
        <is>
          <t>API</t>
        </is>
      </c>
      <c r="K250" s="16" t="inlineStr">
        <is>
          <t>Executed – API run (tools/testing/api-test-run.mjs)</t>
        </is>
      </c>
      <c r="L250" s="17" t="inlineStr">
        <is>
          <t>Passed</t>
        </is>
      </c>
      <c r="M250" s="16" t="inlineStr">
        <is>
          <t>api-test-run.json EX-100: GET /api/v1/backoffice/reports; GET /api/v1/backoffice/reports/POLICY_REGISTER?from&amp;to → 12 reports | 200 rows=59</t>
        </is>
      </c>
      <c r="N250" s="16" t="inlineStr">
        <is>
          <t>2 Oct 2026 22:13 UTC</t>
        </is>
      </c>
      <c r="O250" s="16" t="inlineStr">
        <is>
          <t>iorta TechNXT QA (API run)</t>
        </is>
      </c>
      <c r="P250" s="16" t="inlineStr"/>
    </row>
    <row r="251">
      <c r="A251" s="15" t="inlineStr">
        <is>
          <t>CS-0250</t>
        </is>
      </c>
      <c r="B251" s="15" t="inlineStr">
        <is>
          <t>TS-43</t>
        </is>
      </c>
      <c r="C251" s="15" t="inlineStr">
        <is>
          <t>TC-134</t>
        </is>
      </c>
      <c r="D251" s="15" t="inlineStr">
        <is>
          <t>RPT</t>
        </is>
      </c>
      <c r="E251" s="16" t="inlineStr">
        <is>
          <t>Every standard report runs and exports; portal restriction; schedule (suite)</t>
        </is>
      </c>
      <c r="F251" s="16" t="inlineStr">
        <is>
          <t>ag-000001, ops.checker, compliance, support, finance, manager</t>
        </is>
      </c>
      <c r="G251" s="16" t="inlineStr">
        <is>
          <t>1. Run `npm run test:e2e -w apps/api` (rebuilds the iift_test database from the migrations and seeds)
2. Run 12 reports; export 3 formats; agent catalogue; schedule create/deactivate</t>
        </is>
      </c>
      <c r="H251" s="16" t="inlineStr">
        <is>
          <t>manager, ag-000002</t>
        </is>
      </c>
      <c r="I251" s="16" t="inlineStr">
        <is>
          <t>12 × 200; XLSX/CSV/PDF types; AML_SCREENING absent and 403; 201; 200</t>
        </is>
      </c>
      <c r="J251" s="15" t="inlineStr">
        <is>
          <t>E2E</t>
        </is>
      </c>
      <c r="K251" s="16" t="inlineStr">
        <is>
          <t>Automated – apps/api/test/operations.e2e-spec.ts › runs every standard report and exports it in each format (BO-22..24)</t>
        </is>
      </c>
      <c r="L251" s="17" t="inlineStr">
        <is>
          <t>Passed</t>
        </is>
      </c>
      <c r="M251" s="16" t="inlineStr">
        <is>
          <t>api-e2e-tests.json: 'Back-office operations runs every standard report and exports it in each format (BO-22..24)' passed (2 Oct 2026 14:55 UTC); test-reruns.json: passed (2 Oct 2026 22:00 UTC)</t>
        </is>
      </c>
      <c r="N251" s="16" t="inlineStr">
        <is>
          <t>2 Oct 2026 22:00 UTC</t>
        </is>
      </c>
      <c r="O251" s="16" t="inlineStr">
        <is>
          <t>iorta QA (Vitest e2e, iift_test database)</t>
        </is>
      </c>
      <c r="P251" s="16" t="inlineStr"/>
    </row>
    <row r="252">
      <c r="A252" s="15" t="inlineStr">
        <is>
          <t>CS-0251</t>
        </is>
      </c>
      <c r="B252" s="15" t="inlineStr">
        <is>
          <t>TS-43</t>
        </is>
      </c>
      <c r="C252" s="15" t="inlineStr">
        <is>
          <t>TC-134</t>
        </is>
      </c>
      <c r="D252" s="15" t="inlineStr">
        <is>
          <t>RPT</t>
        </is>
      </c>
      <c r="E252" s="16" t="inlineStr">
        <is>
          <t>Report preview and production report</t>
        </is>
      </c>
      <c r="F252" s="16" t="inlineStr">
        <is>
          <t>manager</t>
        </is>
      </c>
      <c r="G252" s="16" t="inlineStr">
        <is>
          <t>1. Open Reports
2. Preview Policy register
3. Run Production summary</t>
        </is>
      </c>
      <c r="H252" s="16" t="inlineStr">
        <is>
          <t>Date range</t>
        </is>
      </c>
      <c r="I252" s="16" t="inlineStr">
        <is>
          <t>Rows displayed with filters; export buttons available</t>
        </is>
      </c>
      <c r="J252" s="15" t="inlineStr">
        <is>
          <t>UI</t>
        </is>
      </c>
      <c r="K252" s="16" t="inlineStr">
        <is>
          <t>Manual (exploratory)</t>
        </is>
      </c>
      <c r="L252" s="17" t="inlineStr">
        <is>
          <t>Passed</t>
        </is>
      </c>
      <c r="M252" s="16" t="inlineStr">
        <is>
          <t>Screens: b-bo-reports.png, b-flow-report-preview.png, b-flow-report-production.png (evidence/ui-screens)</t>
        </is>
      </c>
      <c r="N252" s="16" t="inlineStr">
        <is>
          <t>2 Oct 2026</t>
        </is>
      </c>
      <c r="O252" s="16" t="inlineStr">
        <is>
          <t>iorta QA (manual, exploratory)</t>
        </is>
      </c>
      <c r="P252" s="16" t="inlineStr"/>
    </row>
    <row r="253">
      <c r="A253" s="15" t="inlineStr">
        <is>
          <t>CS-0252</t>
        </is>
      </c>
      <c r="B253" s="15" t="inlineStr">
        <is>
          <t>TS-43</t>
        </is>
      </c>
      <c r="C253" s="15" t="inlineStr">
        <is>
          <t>TC-135</t>
        </is>
      </c>
      <c r="D253" s="15" t="inlineStr">
        <is>
          <t>RPT</t>
        </is>
      </c>
      <c r="E253" s="16" t="inlineStr">
        <is>
          <t>report export: quotes CSV cells and neutralises spreadsheet formulas</t>
        </is>
      </c>
      <c r="F253" s="16" t="inlineStr">
        <is>
          <t>Developer / CI</t>
        </is>
      </c>
      <c r="G253" s="16" t="inlineStr">
        <is>
          <t>1. Run `npm test -w apps/api` (Vitest)
2. Locate 'report export quotes CSV cells and neutralises spreadsheet formulas' in the run output</t>
        </is>
      </c>
      <c r="H253" s="16" t="inlineStr">
        <is>
          <t>Fixtures defined in modules/reports/reports.spec.ts</t>
        </is>
      </c>
      <c r="I253" s="16" t="inlineStr">
        <is>
          <t>The test passes: report export quotes CSV cells and neutralises spreadsheet formulas.</t>
        </is>
      </c>
      <c r="J253" s="15" t="inlineStr">
        <is>
          <t>Unit</t>
        </is>
      </c>
      <c r="K253" s="16" t="inlineStr">
        <is>
          <t>Automated – modules/reports/reports.spec.ts</t>
        </is>
      </c>
      <c r="L253" s="17" t="inlineStr">
        <is>
          <t>Passed</t>
        </is>
      </c>
      <c r="M253" s="16" t="inlineStr">
        <is>
          <t>api-unit-tests.json: 'report export quotes CSV cells and neutralises spreadsheet formulas' passed (2 Oct 2026 14:55 UTC); test-reruns.json: passed (2 Oct 2026 21:45 UTC)</t>
        </is>
      </c>
      <c r="N253" s="16" t="inlineStr">
        <is>
          <t>2 Oct 2026 21:45 UTC</t>
        </is>
      </c>
      <c r="O253" s="16" t="inlineStr">
        <is>
          <t>iorta QA (Vitest)</t>
        </is>
      </c>
      <c r="P253" s="16" t="inlineStr"/>
    </row>
    <row r="254">
      <c r="A254" s="15" t="inlineStr">
        <is>
          <t>CS-0253</t>
        </is>
      </c>
      <c r="B254" s="15" t="inlineStr">
        <is>
          <t>TS-43</t>
        </is>
      </c>
      <c r="C254" s="15" t="inlineStr">
        <is>
          <t>TC-135</t>
        </is>
      </c>
      <c r="D254" s="15" t="inlineStr">
        <is>
          <t>RPT</t>
        </is>
      </c>
      <c r="E254" s="16" t="inlineStr">
        <is>
          <t>report scheduling: resolves relative periods to date ranges</t>
        </is>
      </c>
      <c r="F254" s="16" t="inlineStr">
        <is>
          <t>Developer / CI</t>
        </is>
      </c>
      <c r="G254" s="16" t="inlineStr">
        <is>
          <t>1. Run `npm test -w apps/api` (Vitest)
2. Locate 'report scheduling resolves relative periods to date ranges' in the run output</t>
        </is>
      </c>
      <c r="H254" s="16" t="inlineStr">
        <is>
          <t>Fixtures defined in modules/reports/reports.spec.ts</t>
        </is>
      </c>
      <c r="I254" s="16" t="inlineStr">
        <is>
          <t>The test passes: report scheduling resolves relative periods to date ranges.</t>
        </is>
      </c>
      <c r="J254" s="15" t="inlineStr">
        <is>
          <t>Unit</t>
        </is>
      </c>
      <c r="K254" s="16" t="inlineStr">
        <is>
          <t>Automated – modules/reports/reports.spec.ts</t>
        </is>
      </c>
      <c r="L254" s="17" t="inlineStr">
        <is>
          <t>Passed</t>
        </is>
      </c>
      <c r="M254" s="16" t="inlineStr">
        <is>
          <t>api-unit-tests.json: 'report scheduling resolves relative periods to date ranges' passed (2 Oct 2026 14:55 UTC); test-reruns.json: passed (2 Oct 2026 21:45 UTC)</t>
        </is>
      </c>
      <c r="N254" s="16" t="inlineStr">
        <is>
          <t>2 Oct 2026 21:45 UTC</t>
        </is>
      </c>
      <c r="O254" s="16" t="inlineStr">
        <is>
          <t>iorta QA (Vitest)</t>
        </is>
      </c>
      <c r="P254" s="16" t="inlineStr"/>
    </row>
    <row r="255">
      <c r="A255" s="15" t="inlineStr">
        <is>
          <t>CS-0254</t>
        </is>
      </c>
      <c r="B255" s="15" t="inlineStr">
        <is>
          <t>TS-43</t>
        </is>
      </c>
      <c r="C255" s="15" t="inlineStr">
        <is>
          <t>TC-135</t>
        </is>
      </c>
      <c r="D255" s="15" t="inlineStr">
        <is>
          <t>RPT</t>
        </is>
      </c>
      <c r="E255" s="16" t="inlineStr">
        <is>
          <t>report scheduling: runs daily reports at 07:00 Brunei time (23:00 UTC)</t>
        </is>
      </c>
      <c r="F255" s="16" t="inlineStr">
        <is>
          <t>Developer / CI</t>
        </is>
      </c>
      <c r="G255" s="16" t="inlineStr">
        <is>
          <t>1. Run `npm test -w apps/api` (Vitest)
2. Locate 'report scheduling runs daily reports at 07:00 Brunei time (23:00 UTC)' in the run output</t>
        </is>
      </c>
      <c r="H255" s="16" t="inlineStr">
        <is>
          <t>Fixtures defined in modules/reports/reports.spec.ts</t>
        </is>
      </c>
      <c r="I255" s="16" t="inlineStr">
        <is>
          <t>The test passes: report scheduling runs daily reports at 07:00 Brunei time (23:00 UTC).</t>
        </is>
      </c>
      <c r="J255" s="15" t="inlineStr">
        <is>
          <t>Unit</t>
        </is>
      </c>
      <c r="K255" s="16" t="inlineStr">
        <is>
          <t>Automated – modules/reports/reports.spec.ts</t>
        </is>
      </c>
      <c r="L255" s="17" t="inlineStr">
        <is>
          <t>Passed</t>
        </is>
      </c>
      <c r="M255" s="16" t="inlineStr">
        <is>
          <t>api-unit-tests.json: 'report scheduling runs daily reports at 07:00 Brunei time (23:00 UTC)' passed (2 Oct 2026 14:55 UTC); test-reruns.json: passed (2 Oct 2026 21:45 UTC)</t>
        </is>
      </c>
      <c r="N255" s="16" t="inlineStr">
        <is>
          <t>2 Oct 2026 21:45 UTC</t>
        </is>
      </c>
      <c r="O255" s="16" t="inlineStr">
        <is>
          <t>iorta QA (Vitest)</t>
        </is>
      </c>
      <c r="P255" s="16" t="inlineStr"/>
    </row>
    <row r="256">
      <c r="A256" s="15" t="inlineStr">
        <is>
          <t>CS-0255</t>
        </is>
      </c>
      <c r="B256" s="15" t="inlineStr">
        <is>
          <t>TS-43</t>
        </is>
      </c>
      <c r="C256" s="15" t="inlineStr">
        <is>
          <t>TC-135</t>
        </is>
      </c>
      <c r="D256" s="15" t="inlineStr">
        <is>
          <t>RPT</t>
        </is>
      </c>
      <c r="E256" s="16" t="inlineStr">
        <is>
          <t>report scheduling: runs weekly reports on Monday and monthly reports on the 1st (local time)</t>
        </is>
      </c>
      <c r="F256" s="16" t="inlineStr">
        <is>
          <t>Developer / CI</t>
        </is>
      </c>
      <c r="G256" s="16" t="inlineStr">
        <is>
          <t>1. Run `npm test -w apps/api` (Vitest)
2. Locate 'report scheduling runs weekly reports on Monday and monthly reports on the 1st (local time)' in the run output</t>
        </is>
      </c>
      <c r="H256" s="16" t="inlineStr">
        <is>
          <t>Fixtures defined in modules/reports/reports.spec.ts</t>
        </is>
      </c>
      <c r="I256" s="16" t="inlineStr">
        <is>
          <t>The test passes: report scheduling runs weekly reports on Monday and monthly reports on the 1st (local time).</t>
        </is>
      </c>
      <c r="J256" s="15" t="inlineStr">
        <is>
          <t>Unit</t>
        </is>
      </c>
      <c r="K256" s="16" t="inlineStr">
        <is>
          <t>Automated – modules/reports/reports.spec.ts</t>
        </is>
      </c>
      <c r="L256" s="17" t="inlineStr">
        <is>
          <t>Passed</t>
        </is>
      </c>
      <c r="M256" s="16" t="inlineStr">
        <is>
          <t>api-unit-tests.json: 'report scheduling runs weekly reports on Monday and monthly reports on the 1st (local time)' passed (2 Oct 2026 14:55 UTC); test-reruns.json: passed (2 Oct 2026 21:45 UTC)</t>
        </is>
      </c>
      <c r="N256" s="16" t="inlineStr">
        <is>
          <t>2 Oct 2026 21:45 UTC</t>
        </is>
      </c>
      <c r="O256" s="16" t="inlineStr">
        <is>
          <t>iorta QA (Vitest)</t>
        </is>
      </c>
      <c r="P256" s="16" t="inlineStr"/>
    </row>
    <row r="257">
      <c r="A257" s="15" t="inlineStr">
        <is>
          <t>CS-0256</t>
        </is>
      </c>
      <c r="B257" s="15" t="inlineStr">
        <is>
          <t>TS-43</t>
        </is>
      </c>
      <c r="C257" s="15" t="inlineStr">
        <is>
          <t>TC-135</t>
        </is>
      </c>
      <c r="D257" s="15" t="inlineStr">
        <is>
          <t>RPT</t>
        </is>
      </c>
      <c r="E257" s="16" t="inlineStr">
        <is>
          <t>Report export in XLSX, CSV and PDF</t>
        </is>
      </c>
      <c r="F257" s="16" t="inlineStr">
        <is>
          <t>manager</t>
        </is>
      </c>
      <c r="G257" s="16" t="inlineStr">
        <is>
          <t>1. GET reports/POLICY_REGISTER/export?format=XLSX, CSV, PDF</t>
        </is>
      </c>
      <c r="H257" s="16" t="inlineStr">
        <is>
          <t>Content types spreadsheetml, text/csv, application/pdf</t>
        </is>
      </c>
      <c r="I257" s="16" t="inlineStr">
        <is>
          <t>HTTP 200 with the matching content type for each format</t>
        </is>
      </c>
      <c r="J257" s="15" t="inlineStr">
        <is>
          <t>API</t>
        </is>
      </c>
      <c r="K257" s="16" t="inlineStr">
        <is>
          <t>Executed – API run (tools/testing/api-test-run.mjs)</t>
        </is>
      </c>
      <c r="L257" s="17" t="inlineStr">
        <is>
          <t>Passed</t>
        </is>
      </c>
      <c r="M257" s="16" t="inlineStr">
        <is>
          <t>api-test-run.json EX-102: GET /api/v1/backoffice/reports/POLICY_REGISTER/export?format= → XLSX:200 application/vnd.openxmlformats-officedocument.spreadsheetml.sheet | CSV:200 text/csv | PDF:200 application/pdf</t>
        </is>
      </c>
      <c r="N257" s="16" t="inlineStr">
        <is>
          <t>2 Oct 2026 22:13 UTC</t>
        </is>
      </c>
      <c r="O257" s="16" t="inlineStr">
        <is>
          <t>iorta TechNXT QA (API run)</t>
        </is>
      </c>
      <c r="P257" s="16" t="inlineStr"/>
    </row>
    <row r="258">
      <c r="A258" s="15" t="inlineStr">
        <is>
          <t>CS-0257</t>
        </is>
      </c>
      <c r="B258" s="15" t="inlineStr">
        <is>
          <t>TS-44</t>
        </is>
      </c>
      <c r="C258" s="15" t="inlineStr">
        <is>
          <t>TC-136</t>
        </is>
      </c>
      <c r="D258" s="15" t="inlineStr">
        <is>
          <t>RPT</t>
        </is>
      </c>
      <c r="E258" s="16" t="inlineStr">
        <is>
          <t>Portal reports are limited to the agent’s role and scope</t>
        </is>
      </c>
      <c r="F258" s="16" t="inlineStr">
        <is>
          <t>ag-000002</t>
        </is>
      </c>
      <c r="G258" s="16" t="inlineStr">
        <is>
          <t>1. As ag-000002 GET /api/v1/portal/reports
2. GET portal/reports/AML_SCREENING
3. GET the first portal report</t>
        </is>
      </c>
      <c r="H258" s="16" t="inlineStr">
        <is>
          <t>Sub-agent</t>
        </is>
      </c>
      <c r="I258" s="16" t="inlineStr">
        <is>
          <t>Portal catalogue excludes AML_SCREENING; GET /portal/reports/AML_SCREENING → 403; an allowed report runs with only the agent’s own records</t>
        </is>
      </c>
      <c r="J258" s="15" t="inlineStr">
        <is>
          <t>API</t>
        </is>
      </c>
      <c r="K258" s="16" t="inlineStr">
        <is>
          <t>Executed – API run (tools/testing/api-test-run.mjs)</t>
        </is>
      </c>
      <c r="L258" s="17" t="inlineStr">
        <is>
          <t>Passed</t>
        </is>
      </c>
      <c r="M258" s="16" t="inlineStr">
        <is>
          <t>api-test-run.json EX-103: GET /api/v1/portal/reports; GET /api/v1/portal/reports/AML_SCREENING; GET /api/v1/portal/reports/{first} → codes=POLICY_REGISTER,PRODUCTION_SUMMARY,COLLECTIONS,OUTSTANDING_AGEING,CLAIMS_REGISTER,RENEWALS_DUE,COMMISSION_STATEMENT | 403 | 200 rows=12</t>
        </is>
      </c>
      <c r="N258" s="16" t="inlineStr">
        <is>
          <t>2 Oct 2026 22:13 UTC</t>
        </is>
      </c>
      <c r="O258" s="16" t="inlineStr">
        <is>
          <t>iorta TechNXT QA (API run)</t>
        </is>
      </c>
      <c r="P258" s="16" t="inlineStr"/>
    </row>
    <row r="259">
      <c r="A259" s="15" t="inlineStr">
        <is>
          <t>CS-0258</t>
        </is>
      </c>
      <c r="B259" s="15" t="inlineStr">
        <is>
          <t>TS-44</t>
        </is>
      </c>
      <c r="C259" s="15" t="inlineStr">
        <is>
          <t>TC-136</t>
        </is>
      </c>
      <c r="D259" s="15" t="inlineStr">
        <is>
          <t>RPT</t>
        </is>
      </c>
      <c r="E259" s="16" t="inlineStr">
        <is>
          <t>Portal reports for an agent</t>
        </is>
      </c>
      <c r="F259" s="16" t="inlineStr">
        <is>
          <t>ag-000001</t>
        </is>
      </c>
      <c r="G259" s="16" t="inlineStr">
        <is>
          <t>1. Open Reports in the portal</t>
        </is>
      </c>
      <c r="H259" s="16" t="inlineStr">
        <is>
          <t>Agent scope</t>
        </is>
      </c>
      <c r="I259" s="16" t="inlineStr">
        <is>
          <t>Only portal reports listed; own data</t>
        </is>
      </c>
      <c r="J259" s="15" t="inlineStr">
        <is>
          <t>UI</t>
        </is>
      </c>
      <c r="K259" s="16" t="inlineStr">
        <is>
          <t>Manual (exploratory)</t>
        </is>
      </c>
      <c r="L259" s="17" t="inlineStr">
        <is>
          <t>Passed</t>
        </is>
      </c>
      <c r="M259" s="16" t="inlineStr">
        <is>
          <t>Screens: b-reports-portal.png, b-final-preports.png (evidence/ui-screens)</t>
        </is>
      </c>
      <c r="N259" s="16" t="inlineStr">
        <is>
          <t>2 Oct 2026</t>
        </is>
      </c>
      <c r="O259" s="16" t="inlineStr">
        <is>
          <t>iorta QA (manual, exploratory)</t>
        </is>
      </c>
      <c r="P259" s="16" t="inlineStr"/>
    </row>
    <row r="260">
      <c r="A260" s="15" t="inlineStr">
        <is>
          <t>CS-0259</t>
        </is>
      </c>
      <c r="B260" s="15" t="inlineStr">
        <is>
          <t>TS-45</t>
        </is>
      </c>
      <c r="C260" s="15" t="inlineStr">
        <is>
          <t>TC-137</t>
        </is>
      </c>
      <c r="D260" s="15" t="inlineStr">
        <is>
          <t>RPT</t>
        </is>
      </c>
      <c r="E260" s="16" t="inlineStr">
        <is>
          <t>Scheduled report distribution is configurable</t>
        </is>
      </c>
      <c r="F260" s="16" t="inlineStr">
        <is>
          <t>manager</t>
        </is>
      </c>
      <c r="G260" s="16" t="inlineStr">
        <is>
          <t>1. POST reports/schedules with recipient 'not-an-email'
2. POST a valid DAILY XLSX schedule
3. PUT schedules/{id}/active false</t>
        </is>
      </c>
      <c r="H260" s="16" t="inlineStr">
        <is>
          <t>COLLECTIONS, PREVIOUS_DAY</t>
        </is>
      </c>
      <c r="I260" s="16" t="inlineStr">
        <is>
          <t>Invalid recipient → 400; valid schedule → 201 with nextRunAt; deactivate → 200 active=false</t>
        </is>
      </c>
      <c r="J260" s="15" t="inlineStr">
        <is>
          <t>API</t>
        </is>
      </c>
      <c r="K260" s="16" t="inlineStr">
        <is>
          <t>Executed – API run (tools/testing/api-test-run.mjs)</t>
        </is>
      </c>
      <c r="L260" s="17" t="inlineStr">
        <is>
          <t>Passed</t>
        </is>
      </c>
      <c r="M260" s="16" t="inlineStr">
        <is>
          <t>api-test-run.json EX-104: POST /api/v1/backoffice/reports/schedules; PUT …/active → 400 | 201 nextRunAt=set | 200 active=false</t>
        </is>
      </c>
      <c r="N260" s="16" t="inlineStr">
        <is>
          <t>2 Oct 2026 22:13 UTC</t>
        </is>
      </c>
      <c r="O260" s="16" t="inlineStr">
        <is>
          <t>iorta TechNXT QA (API run)</t>
        </is>
      </c>
      <c r="P260" s="16" t="inlineStr"/>
    </row>
    <row r="261">
      <c r="A261" s="15" t="inlineStr">
        <is>
          <t>CS-0260</t>
        </is>
      </c>
      <c r="B261" s="15" t="inlineStr">
        <is>
          <t>TS-45</t>
        </is>
      </c>
      <c r="C261" s="15" t="inlineStr">
        <is>
          <t>TC-137</t>
        </is>
      </c>
      <c r="D261" s="15" t="inlineStr">
        <is>
          <t>RPT</t>
        </is>
      </c>
      <c r="E261" s="16" t="inlineStr">
        <is>
          <t>Report schedule created</t>
        </is>
      </c>
      <c r="F261" s="16" t="inlineStr">
        <is>
          <t>manager</t>
        </is>
      </c>
      <c r="G261" s="16" t="inlineStr">
        <is>
          <t>1. Reports → Schedules → New
2. Set frequency, format, recipients</t>
        </is>
      </c>
      <c r="H261" s="16" t="inlineStr">
        <is>
          <t>Daily collections</t>
        </is>
      </c>
      <c r="I261" s="16" t="inlineStr">
        <is>
          <t>Schedule listed with next run</t>
        </is>
      </c>
      <c r="J261" s="15" t="inlineStr">
        <is>
          <t>UI</t>
        </is>
      </c>
      <c r="K261" s="16" t="inlineStr">
        <is>
          <t>Manual (exploratory)</t>
        </is>
      </c>
      <c r="L261" s="17" t="inlineStr">
        <is>
          <t>Passed</t>
        </is>
      </c>
      <c r="M261" s="16" t="inlineStr">
        <is>
          <t>Screens: b-flow-schedule-modal.png, b-flow-schedules.png (evidence/ui-screens)</t>
        </is>
      </c>
      <c r="N261" s="16" t="inlineStr">
        <is>
          <t>2 Oct 2026</t>
        </is>
      </c>
      <c r="O261" s="16" t="inlineStr">
        <is>
          <t>iorta QA (manual, exploratory)</t>
        </is>
      </c>
      <c r="P261" s="16" t="inlineStr"/>
    </row>
    <row r="262">
      <c r="A262" s="15" t="inlineStr">
        <is>
          <t>CS-0261</t>
        </is>
      </c>
      <c r="B262" s="15" t="inlineStr">
        <is>
          <t>TS-46</t>
        </is>
      </c>
      <c r="C262" s="15" t="inlineStr">
        <is>
          <t>TC-138</t>
        </is>
      </c>
      <c r="D262" s="15" t="inlineStr">
        <is>
          <t>AUD</t>
        </is>
      </c>
      <c r="E262" s="16" t="inlineStr">
        <is>
          <t>Audit trail with before/after diff</t>
        </is>
      </c>
      <c r="F262" s="16" t="inlineStr">
        <is>
          <t>manager</t>
        </is>
      </c>
      <c r="G262" s="16" t="inlineStr">
        <is>
          <t>1. Open Audit trail
2. Open an entry</t>
        </is>
      </c>
      <c r="H262" s="16" t="inlineStr">
        <is>
          <t>Parameter change</t>
        </is>
      </c>
      <c r="I262" s="16" t="inlineStr">
        <is>
          <t>Entry shows actor, time, IP and the before/after values</t>
        </is>
      </c>
      <c r="J262" s="15" t="inlineStr">
        <is>
          <t>UI</t>
        </is>
      </c>
      <c r="K262" s="16" t="inlineStr">
        <is>
          <t>Manual (exploratory)</t>
        </is>
      </c>
      <c r="L262" s="17" t="inlineStr">
        <is>
          <t>Passed</t>
        </is>
      </c>
      <c r="M262" s="16" t="inlineStr">
        <is>
          <t>Screens: b-bo-audit.png, b-flow-audit-diff.png (evidence/ui-screens)</t>
        </is>
      </c>
      <c r="N262" s="16" t="inlineStr">
        <is>
          <t>2 Oct 2026</t>
        </is>
      </c>
      <c r="O262" s="16" t="inlineStr">
        <is>
          <t>iorta QA (manual, exploratory)</t>
        </is>
      </c>
      <c r="P262" s="16" t="inlineStr"/>
    </row>
    <row r="263">
      <c r="A263" s="15" t="inlineStr">
        <is>
          <t>CS-0262</t>
        </is>
      </c>
      <c r="B263" s="15" t="inlineStr">
        <is>
          <t>TS-46</t>
        </is>
      </c>
      <c r="C263" s="15" t="inlineStr">
        <is>
          <t>TC-139</t>
        </is>
      </c>
      <c r="D263" s="15" t="inlineStr">
        <is>
          <t>AUD</t>
        </is>
      </c>
      <c r="E263" s="16" t="inlineStr">
        <is>
          <t>Audit trail search by actor, action and entity; facets</t>
        </is>
      </c>
      <c r="F263" s="16" t="inlineStr">
        <is>
          <t>manager, compliance</t>
        </is>
      </c>
      <c r="G263" s="16" t="inlineStr">
        <is>
          <t>1. GET audit?actor=manager
2. GET audit?action=LOGIN_FAILED
3. GET audit/facets
4. As ops.maker GET audit</t>
        </is>
      </c>
      <c r="H263" s="16" t="inlineStr">
        <is>
          <t>Audit trail</t>
        </is>
      </c>
      <c r="I263" s="16" t="inlineStr">
        <is>
          <t>GET /backoffice/audit?actor=manager → 200 only manager entries; ?action=LOGIN_FAILED → entries with IP; GET facets → 200; ops.maker → 403</t>
        </is>
      </c>
      <c r="J263" s="15" t="inlineStr">
        <is>
          <t>API</t>
        </is>
      </c>
      <c r="K263" s="16" t="inlineStr">
        <is>
          <t>Executed – API run (tools/testing/api-test-run.mjs)</t>
        </is>
      </c>
      <c r="L263" s="17" t="inlineStr">
        <is>
          <t>Passed</t>
        </is>
      </c>
      <c r="M263" s="16" t="inlineStr">
        <is>
          <t>api-test-run.json EX-116: GET /api/v1/backoffice/audit?actor=manager; ?action=LOGIN_FAILED; GET audit/facets; audit as ops.maker → 200 onlyManager=true | LOGIN_FAILED items=5 withIp=true | facets 200 | 403</t>
        </is>
      </c>
      <c r="N263" s="16" t="inlineStr">
        <is>
          <t>2 Oct 2026 22:13 UTC</t>
        </is>
      </c>
      <c r="O263" s="16" t="inlineStr">
        <is>
          <t>iorta TechNXT QA (API run)</t>
        </is>
      </c>
      <c r="P263" s="16" t="inlineStr"/>
    </row>
    <row r="264">
      <c r="A264" s="15" t="inlineStr">
        <is>
          <t>CS-0263</t>
        </is>
      </c>
      <c r="B264" s="15" t="inlineStr">
        <is>
          <t>TS-46</t>
        </is>
      </c>
      <c r="C264" s="15" t="inlineStr">
        <is>
          <t>TC-140</t>
        </is>
      </c>
      <c r="D264" s="15" t="inlineStr">
        <is>
          <t>AUD</t>
        </is>
      </c>
      <c r="E264" s="16" t="inlineStr">
        <is>
          <t>Audit trail append-only (suite)</t>
        </is>
      </c>
      <c r="F264" s="16" t="inlineStr">
        <is>
          <t>ag-000001..3, finance, ops.maker, manager, system</t>
        </is>
      </c>
      <c r="G264" s="16" t="inlineStr">
        <is>
          <t>1. Run `npm run test:e2e -w apps/api` (rebuilds the iift_test database from the migrations and seeds)
2. UPDATE audit_log; DELETE FROM audit_log</t>
        </is>
      </c>
      <c r="H264" s="16" t="inlineStr">
        <is>
          <t>Database</t>
        </is>
      </c>
      <c r="I264" s="16" t="inlineStr">
        <is>
          <t>Both statements rejected by the trigger ('append-only')</t>
        </is>
      </c>
      <c r="J264" s="15" t="inlineStr">
        <is>
          <t>E2E</t>
        </is>
      </c>
      <c r="K264" s="16" t="inlineStr">
        <is>
          <t>Automated – apps/api/test/access-control.e2e-spec.ts › keeps the audit trail append-only at database level</t>
        </is>
      </c>
      <c r="L264" s="17" t="inlineStr">
        <is>
          <t>Passed</t>
        </is>
      </c>
      <c r="M264" s="16" t="inlineStr">
        <is>
          <t>api-e2e-tests.json: 'Access control and input handling (AP-59, BO-02, COM-02, NFR-10/14/15) keeps the audit trail append-only at database level' passed (2 Oct 2026 14:55 UTC); test-reruns.json: passed (2 Oct 2026 22:00 UTC)</t>
        </is>
      </c>
      <c r="N264" s="16" t="inlineStr">
        <is>
          <t>2 Oct 2026 22:00 UTC</t>
        </is>
      </c>
      <c r="O264" s="16" t="inlineStr">
        <is>
          <t>iorta QA (Vitest e2e, iift_test database)</t>
        </is>
      </c>
      <c r="P264" s="16" t="inlineStr"/>
    </row>
    <row r="265">
      <c r="A265" s="15" t="inlineStr">
        <is>
          <t>CS-0264</t>
        </is>
      </c>
      <c r="B265" s="15" t="inlineStr">
        <is>
          <t>TS-47</t>
        </is>
      </c>
      <c r="C265" s="15" t="inlineStr">
        <is>
          <t>TC-141</t>
        </is>
      </c>
      <c r="D265" s="15" t="inlineStr">
        <is>
          <t>ADM</t>
        </is>
      </c>
      <c r="E265" s="16" t="inlineStr">
        <is>
          <t>Create a back-office user with a temporary password; role audience is enforced</t>
        </is>
      </c>
      <c r="F265" s="16" t="inlineStr">
        <is>
          <t>manager</t>
        </is>
      </c>
      <c r="G265" s="16" t="inlineStr">
        <is>
          <t>1. As manager GET role-options
2. POST /api/v1/backoffice/users (AUDITOR, LOCAL)
3. PATCH users/{id} with a portal role
4. PATCH with no roles</t>
        </is>
      </c>
      <c r="H265" s="16" t="inlineStr">
        <is>
          <t>qa.lockout.&lt;run&gt;</t>
        </is>
      </c>
      <c r="I265" s="16" t="inlineStr">
        <is>
          <t>HTTP 201 with a 17-character temporary password; assigning a portal role → 422 INVALID_ROLE; no role → 422 ROLE_REQUIRED</t>
        </is>
      </c>
      <c r="J265" s="15" t="inlineStr">
        <is>
          <t>API</t>
        </is>
      </c>
      <c r="K265" s="16" t="inlineStr">
        <is>
          <t>Executed – API run (tools/testing/api-test-run.mjs)</t>
        </is>
      </c>
      <c r="L265" s="17" t="inlineStr">
        <is>
          <t>Passed</t>
        </is>
      </c>
      <c r="M265" s="16" t="inlineStr">
        <is>
          <t>api-test-run.json EX-110: POST /api/v1/backoffice/users; PATCH users/{id} (portal role; no role) → 201 temp password length=17 | 422 INVALID_ROLE – Only backoffice roles can be assigned to this user | 422 ROLE_REQUIRED – Assign at least one role</t>
        </is>
      </c>
      <c r="N265" s="16" t="inlineStr">
        <is>
          <t>2 Oct 2026 22:13 UTC</t>
        </is>
      </c>
      <c r="O265" s="16" t="inlineStr">
        <is>
          <t>iorta TechNXT QA (API run)</t>
        </is>
      </c>
      <c r="P265" s="16" t="inlineStr"/>
    </row>
    <row r="266">
      <c r="A266" s="15" t="inlineStr">
        <is>
          <t>CS-0265</t>
        </is>
      </c>
      <c r="B266" s="15" t="inlineStr">
        <is>
          <t>TS-47</t>
        </is>
      </c>
      <c r="C266" s="15" t="inlineStr">
        <is>
          <t>TC-141</t>
        </is>
      </c>
      <c r="D266" s="15" t="inlineStr">
        <is>
          <t>ADM</t>
        </is>
      </c>
      <c r="E266" s="16" t="inlineStr">
        <is>
          <t>Administration with audit trail (suite)</t>
        </is>
      </c>
      <c r="F266" s="16" t="inlineStr">
        <is>
          <t>ag-000001, ops.checker, compliance, support, finance, manager</t>
        </is>
      </c>
      <c r="G266" s="16" t="inlineStr">
        <is>
          <t>1. Run `npm run test:e2e -w apps/api` (rebuilds the iift_test database from the migrations and seeds)
2. Create user; portal role; reset; disable; self-disable; role with mixed permissions; parameter 0/10/7; code; workflows</t>
        </is>
      </c>
      <c r="H266" s="16" t="inlineStr">
        <is>
          <t>manager</t>
        </is>
      </c>
      <c r="I266" s="16" t="inlineStr">
        <is>
          <t>201 (17-char password); 422; 200; 200; 422; 422 INVALID_PERMISSION; 422/200/200; 201; 8 workflows; 422/200; audit PARAMETER_UPDATED by manager</t>
        </is>
      </c>
      <c r="J266" s="15" t="inlineStr">
        <is>
          <t>E2E</t>
        </is>
      </c>
      <c r="K266" s="16" t="inlineStr">
        <is>
          <t>Automated – apps/api/test/operations.e2e-spec.ts › administers users, roles, parameters, master data and workflows with an audit trail (BO-03/04/26..33, COM-04)</t>
        </is>
      </c>
      <c r="L266" s="17" t="inlineStr">
        <is>
          <t>Passed</t>
        </is>
      </c>
      <c r="M266" s="16" t="inlineStr">
        <is>
          <t>api-e2e-tests.json: 'Back-office operations administers users, roles, parameters, master data and workflows with an audit trail (BO-03/04/26..33, COM-04)' passed (2 Oct 2026 14:55 UTC); test-reruns.json: passed (2 Oct 2026 22:00 UTC)</t>
        </is>
      </c>
      <c r="N266" s="16" t="inlineStr">
        <is>
          <t>2 Oct 2026 22:00 UTC</t>
        </is>
      </c>
      <c r="O266" s="16" t="inlineStr">
        <is>
          <t>iorta QA (Vitest e2e, iift_test database)</t>
        </is>
      </c>
      <c r="P266" s="16" t="inlineStr"/>
    </row>
    <row r="267">
      <c r="A267" s="15" t="inlineStr">
        <is>
          <t>CS-0266</t>
        </is>
      </c>
      <c r="B267" s="15" t="inlineStr">
        <is>
          <t>TS-47</t>
        </is>
      </c>
      <c r="C267" s="15" t="inlineStr">
        <is>
          <t>TC-141</t>
        </is>
      </c>
      <c r="D267" s="15" t="inlineStr">
        <is>
          <t>ADM</t>
        </is>
      </c>
      <c r="E267" s="16" t="inlineStr">
        <is>
          <t>User created with a temporary password</t>
        </is>
      </c>
      <c r="F267" s="16" t="inlineStr">
        <is>
          <t>manager</t>
        </is>
      </c>
      <c r="G267" s="16" t="inlineStr">
        <is>
          <t>1. Users → New user
2. Assign a role
3. Save</t>
        </is>
      </c>
      <c r="H267" s="16" t="inlineStr">
        <is>
          <t>New staff user</t>
        </is>
      </c>
      <c r="I267" s="16" t="inlineStr">
        <is>
          <t>Temporary password displayed once</t>
        </is>
      </c>
      <c r="J267" s="15" t="inlineStr">
        <is>
          <t>UI</t>
        </is>
      </c>
      <c r="K267" s="16" t="inlineStr">
        <is>
          <t>Manual (exploratory)</t>
        </is>
      </c>
      <c r="L267" s="17" t="inlineStr">
        <is>
          <t>Passed</t>
        </is>
      </c>
      <c r="M267" s="16" t="inlineStr">
        <is>
          <t>Screens: b-flow-user-new.png, b-flow-user-password.png, r0-user-modal.png (evidence/ui-screens)</t>
        </is>
      </c>
      <c r="N267" s="16" t="inlineStr">
        <is>
          <t>2 Oct 2026</t>
        </is>
      </c>
      <c r="O267" s="16" t="inlineStr">
        <is>
          <t>iorta QA (manual, exploratory)</t>
        </is>
      </c>
      <c r="P267" s="16" t="inlineStr"/>
    </row>
    <row r="268">
      <c r="A268" s="15" t="inlineStr">
        <is>
          <t>CS-0267</t>
        </is>
      </c>
      <c r="B268" s="15" t="inlineStr">
        <is>
          <t>TS-47</t>
        </is>
      </c>
      <c r="C268" s="15" t="inlineStr">
        <is>
          <t>TC-142</t>
        </is>
      </c>
      <c r="D268" s="15" t="inlineStr">
        <is>
          <t>ADM</t>
        </is>
      </c>
      <c r="E268" s="16" t="inlineStr">
        <is>
          <t>Administrators cannot disable their own account, reset their own password or change their own roles</t>
        </is>
      </c>
      <c r="F268" s="16" t="inlineStr">
        <is>
          <t>manager</t>
        </is>
      </c>
      <c r="G268" s="16" t="inlineStr">
        <is>
          <t>1. PUT users/{self}/status DISABLED
2. POST users/{self}/reset-password
3. PATCH users/{self} roleIds []</t>
        </is>
      </c>
      <c r="H268" s="16" t="inlineStr">
        <is>
          <t>manager's own account</t>
        </is>
      </c>
      <c r="I268" s="16" t="inlineStr">
        <is>
          <t>HTTP 422 SELF_STATUS_CHANGE; 422 SELF_RESET; 422 SELF_ROLE_CHANGE</t>
        </is>
      </c>
      <c r="J268" s="15" t="inlineStr">
        <is>
          <t>API</t>
        </is>
      </c>
      <c r="K268" s="16" t="inlineStr">
        <is>
          <t>Executed – API run (tools/testing/api-test-run.mjs)</t>
        </is>
      </c>
      <c r="L268" s="17" t="inlineStr">
        <is>
          <t>Passed</t>
        </is>
      </c>
      <c r="M268" s="16" t="inlineStr">
        <is>
          <t>api-test-run.json EX-111: PUT users/d169f8bf-c5a9-4fb6-9e97-d6227e5873cd/status; POST users/d169f8bf-c5a9-4fb6-9e97-d6227e5873cd/reset-password; PATCH users/d169f8bf-c5a9-4fb6-9e97-d6227e5873cd → 422 SELF_STATUS_CHANGE – You cannot change the status of your own account | 422 SELF_RESET – Use "Change password" for your own account | 422 SELF_ROLE_CHANGE – You cannot change your own roles</t>
        </is>
      </c>
      <c r="N268" s="16" t="inlineStr">
        <is>
          <t>2 Oct 2026 22:13 UTC</t>
        </is>
      </c>
      <c r="O268" s="16" t="inlineStr">
        <is>
          <t>iorta TechNXT QA (API run)</t>
        </is>
      </c>
      <c r="P268" s="16" t="inlineStr"/>
    </row>
    <row r="269">
      <c r="A269" s="15" t="inlineStr">
        <is>
          <t>CS-0268</t>
        </is>
      </c>
      <c r="B269" s="15" t="inlineStr">
        <is>
          <t>TS-47</t>
        </is>
      </c>
      <c r="C269" s="15" t="inlineStr">
        <is>
          <t>TC-143</t>
        </is>
      </c>
      <c r="D269" s="15" t="inlineStr">
        <is>
          <t>ADM</t>
        </is>
      </c>
      <c r="E269" s="16" t="inlineStr">
        <is>
          <t>Administrator password reset issues a new temporary password; disabled accounts cannot sign in</t>
        </is>
      </c>
      <c r="F269" s="16" t="inlineStr">
        <is>
          <t>manager, qa user</t>
        </is>
      </c>
      <c r="G269" s="16" t="inlineStr">
        <is>
          <t>1. As manager POST /api/v1/backoffice/users/{qa user}/reset-password
2. Sign in as the (disabled) user with the new temporary password</t>
        </is>
      </c>
      <c r="H269" s="16" t="inlineStr">
        <is>
          <t>User of EX-110, disabled in EX-133</t>
        </is>
      </c>
      <c r="I269" s="16" t="inlineStr">
        <is>
          <t>POST users/{id}/reset-password → 200 with a 17-character temporary password; sign-in of the disabled account → 401</t>
        </is>
      </c>
      <c r="J269" s="15" t="inlineStr">
        <is>
          <t>API</t>
        </is>
      </c>
      <c r="K269" s="16" t="inlineStr">
        <is>
          <t>Executed – API run (tools/testing/api-test-run.mjs)</t>
        </is>
      </c>
      <c r="L269" s="20" t="inlineStr">
        <is>
          <t>Failed</t>
        </is>
      </c>
      <c r="M269" s="16" t="inlineStr">
        <is>
          <t>api-test-run.json EX-134: POST /api/v1/backoffice/users/443b7199-eeb0-45dd-be3f-463ae22d8631/reset-password; POST /api/v1/auth/login (disabled user) → 200 temporary password length=17 | 200</t>
        </is>
      </c>
      <c r="N269" s="16" t="inlineStr">
        <is>
          <t>2 Oct 2026 22:15 UTC</t>
        </is>
      </c>
      <c r="O269" s="16" t="inlineStr">
        <is>
          <t>iorta TechNXT QA (API run)</t>
        </is>
      </c>
      <c r="P269" s="16" t="inlineStr">
        <is>
          <t>DEF-002</t>
        </is>
      </c>
    </row>
    <row r="270">
      <c r="A270" s="15" t="inlineStr">
        <is>
          <t>CS-0269</t>
        </is>
      </c>
      <c r="B270" s="15" t="inlineStr">
        <is>
          <t>TS-48</t>
        </is>
      </c>
      <c r="C270" s="15" t="inlineStr">
        <is>
          <t>TC-144</t>
        </is>
      </c>
      <c r="D270" s="15" t="inlineStr">
        <is>
          <t>ADM</t>
        </is>
      </c>
      <c r="E270" s="16" t="inlineStr">
        <is>
          <t>Role management: permissions must match the audience; system roles cannot be deleted</t>
        </is>
      </c>
      <c r="F270" s="16" t="inlineStr">
        <is>
          <t>manager</t>
        </is>
      </c>
      <c r="G270" s="16" t="inlineStr">
        <is>
          <t>1. POST /api/v1/backoffice/roles with permissions [bo.dashboard, portal.dashboard]
2. POST with valid permissions
3. DELETE roles/{SYSTEM_ADMINISTRATOR}
4. DELETE the new role</t>
        </is>
      </c>
      <c r="H270" s="16" t="inlineStr">
        <is>
          <t>READ_ONLY_&lt;run&gt;</t>
        </is>
      </c>
      <c r="I270" s="16" t="inlineStr">
        <is>
          <t>Role with a portal permission for a back-office audience → 422 INVALID_PERMISSION; valid role → 201; DELETE system role → 422 SYSTEM_ROLE; DELETE the new role → 200/204</t>
        </is>
      </c>
      <c r="J270" s="15" t="inlineStr">
        <is>
          <t>API</t>
        </is>
      </c>
      <c r="K270" s="16" t="inlineStr">
        <is>
          <t>Executed – API run (tools/testing/api-test-run.mjs)</t>
        </is>
      </c>
      <c r="L270" s="17" t="inlineStr">
        <is>
          <t>Passed</t>
        </is>
      </c>
      <c r="M270" s="16" t="inlineStr">
        <is>
          <t>api-test-run.json EX-112: POST /api/v1/backoffice/roles ×2; DELETE roles/{system}; DELETE roles/{new} → 422 INVALID_PERMISSION – Permissions not valid for a backoffice role [portal.dashboard] | 201 | 422 SYSTEM_ROLE – System roles cannot be deleted | 204</t>
        </is>
      </c>
      <c r="N270" s="16" t="inlineStr">
        <is>
          <t>2 Oct 2026 22:13 UTC</t>
        </is>
      </c>
      <c r="O270" s="16" t="inlineStr">
        <is>
          <t>iorta TechNXT QA (API run)</t>
        </is>
      </c>
      <c r="P270" s="16" t="inlineStr"/>
    </row>
    <row r="271">
      <c r="A271" s="15" t="inlineStr">
        <is>
          <t>CS-0270</t>
        </is>
      </c>
      <c r="B271" s="15" t="inlineStr">
        <is>
          <t>TS-48</t>
        </is>
      </c>
      <c r="C271" s="15" t="inlineStr">
        <is>
          <t>TC-144</t>
        </is>
      </c>
      <c r="D271" s="15" t="inlineStr">
        <is>
          <t>ADM</t>
        </is>
      </c>
      <c r="E271" s="16" t="inlineStr">
        <is>
          <t>Role editing</t>
        </is>
      </c>
      <c r="F271" s="16" t="inlineStr">
        <is>
          <t>manager</t>
        </is>
      </c>
      <c r="G271" s="16" t="inlineStr">
        <is>
          <t>1. Roles → open a role
2. Change permissions</t>
        </is>
      </c>
      <c r="H271" s="16" t="inlineStr">
        <is>
          <t>Custom role</t>
        </is>
      </c>
      <c r="I271" s="16" t="inlineStr">
        <is>
          <t>Permissions grouped by audience; saved</t>
        </is>
      </c>
      <c r="J271" s="15" t="inlineStr">
        <is>
          <t>UI</t>
        </is>
      </c>
      <c r="K271" s="16" t="inlineStr">
        <is>
          <t>Manual (exploratory)</t>
        </is>
      </c>
      <c r="L271" s="17" t="inlineStr">
        <is>
          <t>Passed</t>
        </is>
      </c>
      <c r="M271" s="16" t="inlineStr">
        <is>
          <t>Screens: b-flow-roles.png, b-flow-role-drawer.png (evidence/ui-screens)</t>
        </is>
      </c>
      <c r="N271" s="16" t="inlineStr">
        <is>
          <t>2 Oct 2026</t>
        </is>
      </c>
      <c r="O271" s="16" t="inlineStr">
        <is>
          <t>iorta QA (manual, exploratory)</t>
        </is>
      </c>
      <c r="P271" s="16" t="inlineStr"/>
    </row>
    <row r="272">
      <c r="A272" s="15" t="inlineStr">
        <is>
          <t>CS-0271</t>
        </is>
      </c>
      <c r="B272" s="15" t="inlineStr">
        <is>
          <t>TS-49</t>
        </is>
      </c>
      <c r="C272" s="15" t="inlineStr">
        <is>
          <t>TC-145</t>
        </is>
      </c>
      <c r="D272" s="15" t="inlineStr">
        <is>
          <t>ADM</t>
        </is>
      </c>
      <c r="E272" s="16" t="inlineStr">
        <is>
          <t>Business parameters are range-checked and every change is audited</t>
        </is>
      </c>
      <c r="F272" s="16" t="inlineStr">
        <is>
          <t>manager</t>
        </is>
      </c>
      <c r="G272" s="16" t="inlineStr">
        <is>
          <t>1. PUT config/parameters/billing.payment_grace_days = 0
2. = 10
3. = 7
4. GET audit?entityType=ConfigParameter</t>
        </is>
      </c>
      <c r="H272" s="16" t="inlineStr">
        <is>
          <t>Range 1–60</t>
        </is>
      </c>
      <c r="I272" s="16" t="inlineStr">
        <is>
          <t>billing.payment_grace_days = 0 → 422 INVALID_PARAMETER; = 10 → 200; restored to 7; audit trail shows PARAMETER_UPDATED by manager with before/after values</t>
        </is>
      </c>
      <c r="J272" s="15" t="inlineStr">
        <is>
          <t>API</t>
        </is>
      </c>
      <c r="K272" s="16" t="inlineStr">
        <is>
          <t>Executed – API run (tools/testing/api-test-run.mjs)</t>
        </is>
      </c>
      <c r="L272" s="17" t="inlineStr">
        <is>
          <t>Passed</t>
        </is>
      </c>
      <c r="M272" s="16" t="inlineStr">
        <is>
          <t>api-test-run.json EX-113: PUT /api/v1/backoffice/config/parameters/billing.payment_grace_days (0; 10; 7); GET /api/v1/backoffice/audit?entityType=ConfigParameter → 422 INVALID_PARAMETER – Value must be at least 1 | 200 | 200 | audit PARAMETER_UPDATED by manager before={"value":"10"} after={"value":"7"}</t>
        </is>
      </c>
      <c r="N272" s="16" t="inlineStr">
        <is>
          <t>2 Oct 2026 22:13 UTC</t>
        </is>
      </c>
      <c r="O272" s="16" t="inlineStr">
        <is>
          <t>iorta TechNXT QA (API run)</t>
        </is>
      </c>
      <c r="P272" s="16" t="inlineStr"/>
    </row>
    <row r="273">
      <c r="A273" s="15" t="inlineStr">
        <is>
          <t>CS-0272</t>
        </is>
      </c>
      <c r="B273" s="15" t="inlineStr">
        <is>
          <t>TS-49</t>
        </is>
      </c>
      <c r="C273" s="15" t="inlineStr">
        <is>
          <t>TC-145</t>
        </is>
      </c>
      <c r="D273" s="15" t="inlineStr">
        <is>
          <t>ADM</t>
        </is>
      </c>
      <c r="E273" s="16" t="inlineStr">
        <is>
          <t>Parameter validation</t>
        </is>
      </c>
      <c r="F273" s="16" t="inlineStr">
        <is>
          <t>manager</t>
        </is>
      </c>
      <c r="G273" s="16" t="inlineStr">
        <is>
          <t>1. Settings → change a parameter outside its range</t>
        </is>
      </c>
      <c r="H273" s="16" t="inlineStr">
        <is>
          <t>billing.payment_grace_days = 0</t>
        </is>
      </c>
      <c r="I273" s="16" t="inlineStr">
        <is>
          <t>Range error shown; value unchanged</t>
        </is>
      </c>
      <c r="J273" s="15" t="inlineStr">
        <is>
          <t>UI</t>
        </is>
      </c>
      <c r="K273" s="16" t="inlineStr">
        <is>
          <t>Manual (exploratory)</t>
        </is>
      </c>
      <c r="L273" s="17" t="inlineStr">
        <is>
          <t>Passed</t>
        </is>
      </c>
      <c r="M273" s="16" t="inlineStr">
        <is>
          <t>Screens: b-flow-param-error.png, b-bo-settings.png (evidence/ui-screens)</t>
        </is>
      </c>
      <c r="N273" s="16" t="inlineStr">
        <is>
          <t>2 Oct 2026</t>
        </is>
      </c>
      <c r="O273" s="16" t="inlineStr">
        <is>
          <t>iorta QA (manual, exploratory)</t>
        </is>
      </c>
      <c r="P273" s="16" t="inlineStr"/>
    </row>
    <row r="274">
      <c r="A274" s="15" t="inlineStr">
        <is>
          <t>CS-0273</t>
        </is>
      </c>
      <c r="B274" s="15" t="inlineStr">
        <is>
          <t>TS-49</t>
        </is>
      </c>
      <c r="C274" s="15" t="inlineStr">
        <is>
          <t>TC-146</t>
        </is>
      </c>
      <c r="D274" s="15" t="inlineStr">
        <is>
          <t>ADM</t>
        </is>
      </c>
      <c r="E274" s="16" t="inlineStr">
        <is>
          <t>Master data: a new code is created, deactivated and then refused in business transactions</t>
        </is>
      </c>
      <c r="F274" s="16" t="inlineStr">
        <is>
          <t>manager, ag-000001</t>
        </is>
      </c>
      <c r="G274" s="16" t="inlineStr">
        <is>
          <t>1. POST config/codes ENDORSEMENT_TYPE TEST_&lt;run&gt;
2. PATCH codes/{id} active=false
3. As ag-000001 POST endorsements with that type</t>
        </is>
      </c>
      <c r="H274" s="16" t="inlineStr">
        <is>
          <t>Policy of EX-043</t>
        </is>
      </c>
      <c r="I274" s="16" t="inlineStr">
        <is>
          <t>POST codes → 201; PATCH active=false → 200; endorsement with the inactive type → 422 INVALID_CODE</t>
        </is>
      </c>
      <c r="J274" s="15" t="inlineStr">
        <is>
          <t>API</t>
        </is>
      </c>
      <c r="K274" s="16" t="inlineStr">
        <is>
          <t>Executed – API run (tools/testing/api-test-run.mjs)</t>
        </is>
      </c>
      <c r="L274" s="17" t="inlineStr">
        <is>
          <t>Passed</t>
        </is>
      </c>
      <c r="M274" s="16" t="inlineStr">
        <is>
          <t>api-test-run.json EX-114: POST /api/v1/backoffice/config/codes; PATCH codes/{id}; POST /api/v1/portal/policies/{id}/endorsements → 201 | 200 active=false | 422 INVALID_CODE – "TEST_RIR5X2" is not a valid endorsement type</t>
        </is>
      </c>
      <c r="N274" s="16" t="inlineStr">
        <is>
          <t>2 Oct 2026 22:13 UTC</t>
        </is>
      </c>
      <c r="O274" s="16" t="inlineStr">
        <is>
          <t>iorta TechNXT QA (API run)</t>
        </is>
      </c>
      <c r="P274" s="16" t="inlineStr"/>
    </row>
    <row r="275">
      <c r="A275" s="15" t="inlineStr">
        <is>
          <t>CS-0274</t>
        </is>
      </c>
      <c r="B275" s="15" t="inlineStr">
        <is>
          <t>TS-49</t>
        </is>
      </c>
      <c r="C275" s="15" t="inlineStr">
        <is>
          <t>TC-146</t>
        </is>
      </c>
      <c r="D275" s="15" t="inlineStr">
        <is>
          <t>ADM</t>
        </is>
      </c>
      <c r="E275" s="16" t="inlineStr">
        <is>
          <t>Master data maintenance</t>
        </is>
      </c>
      <c r="F275" s="16" t="inlineStr">
        <is>
          <t>manager</t>
        </is>
      </c>
      <c r="G275" s="16" t="inlineStr">
        <is>
          <t>1. Settings → Master data
2. Add and deactivate a code</t>
        </is>
      </c>
      <c r="H275" s="16" t="inlineStr">
        <is>
          <t>ENDORSEMENT_TYPE</t>
        </is>
      </c>
      <c r="I275" s="16" t="inlineStr">
        <is>
          <t>Code listed with active flag</t>
        </is>
      </c>
      <c r="J275" s="15" t="inlineStr">
        <is>
          <t>UI</t>
        </is>
      </c>
      <c r="K275" s="16" t="inlineStr">
        <is>
          <t>Manual (exploratory)</t>
        </is>
      </c>
      <c r="L275" s="17" t="inlineStr">
        <is>
          <t>Passed</t>
        </is>
      </c>
      <c r="M275" s="16" t="inlineStr">
        <is>
          <t>Screens: b-flow-master-data.png (evidence/ui-screens)</t>
        </is>
      </c>
      <c r="N275" s="16" t="inlineStr">
        <is>
          <t>2 Oct 2026</t>
        </is>
      </c>
      <c r="O275" s="16" t="inlineStr">
        <is>
          <t>iorta QA (manual, exploratory)</t>
        </is>
      </c>
      <c r="P275" s="16" t="inlineStr"/>
    </row>
    <row r="276">
      <c r="A276" s="15" t="inlineStr">
        <is>
          <t>CS-0275</t>
        </is>
      </c>
      <c r="B276" s="15" t="inlineStr">
        <is>
          <t>TS-50</t>
        </is>
      </c>
      <c r="C276" s="15" t="inlineStr">
        <is>
          <t>TC-147</t>
        </is>
      </c>
      <c r="D276" s="15" t="inlineStr">
        <is>
          <t>ADM</t>
        </is>
      </c>
      <c r="E276" s="16" t="inlineStr">
        <is>
          <t>Workflow configuration: eight workflows; steps must use approval permissions</t>
        </is>
      </c>
      <c r="F276" s="16" t="inlineStr">
        <is>
          <t>manager</t>
        </is>
      </c>
      <c r="G276" s="16" t="inlineStr">
        <is>
          <t>1. GET /api/v1/backoffice/workflows
2. PUT workflows/PARTICIPANT_UPDATE with permission bo.users.manage
3. PUT with bo.approve.participants</t>
        </is>
      </c>
      <c r="H276" s="16" t="inlineStr">
        <is>
          <t>Eight definitions</t>
        </is>
      </c>
      <c r="I276" s="16" t="inlineStr">
        <is>
          <t>GET /backoffice/workflows → 8; PUT with a non-approval permission → 422; valid change → 200</t>
        </is>
      </c>
      <c r="J276" s="15" t="inlineStr">
        <is>
          <t>API</t>
        </is>
      </c>
      <c r="K276" s="16" t="inlineStr">
        <is>
          <t>Executed – API run (tools/testing/api-test-run.mjs)</t>
        </is>
      </c>
      <c r="L276" s="17" t="inlineStr">
        <is>
          <t>Passed</t>
        </is>
      </c>
      <c r="M276" s="16" t="inlineStr">
        <is>
          <t>api-test-run.json EX-115: GET /api/v1/backoffice/workflows; PUT /api/v1/backoffice/workflows/PARTICIPANT_UPDATE → 8 workflows | 422 INVALID_STEP_PERMISSION – "bo.users.manage" is not an approval permission | 200</t>
        </is>
      </c>
      <c r="N276" s="16" t="inlineStr">
        <is>
          <t>2 Oct 2026 22:13 UTC</t>
        </is>
      </c>
      <c r="O276" s="16" t="inlineStr">
        <is>
          <t>iorta TechNXT QA (API run)</t>
        </is>
      </c>
      <c r="P276" s="16" t="inlineStr"/>
    </row>
    <row r="277">
      <c r="A277" s="15" t="inlineStr">
        <is>
          <t>CS-0276</t>
        </is>
      </c>
      <c r="B277" s="15" t="inlineStr">
        <is>
          <t>TS-50</t>
        </is>
      </c>
      <c r="C277" s="15" t="inlineStr">
        <is>
          <t>TC-147</t>
        </is>
      </c>
      <c r="D277" s="15" t="inlineStr">
        <is>
          <t>ADM</t>
        </is>
      </c>
      <c r="E277" s="16" t="inlineStr">
        <is>
          <t>Workflow configuration editor</t>
        </is>
      </c>
      <c r="F277" s="16" t="inlineStr">
        <is>
          <t>manager</t>
        </is>
      </c>
      <c r="G277" s="16" t="inlineStr">
        <is>
          <t>1. Workflows → edit PARTICIPANT_UPDATE
2. Change the approving permission</t>
        </is>
      </c>
      <c r="H277" s="16" t="inlineStr">
        <is>
          <t>Approval permissions</t>
        </is>
      </c>
      <c r="I277" s="16" t="inlineStr">
        <is>
          <t>Steps saved; invalid permission refused</t>
        </is>
      </c>
      <c r="J277" s="15" t="inlineStr">
        <is>
          <t>UI</t>
        </is>
      </c>
      <c r="K277" s="16" t="inlineStr">
        <is>
          <t>Manual (exploratory)</t>
        </is>
      </c>
      <c r="L277" s="17" t="inlineStr">
        <is>
          <t>Passed</t>
        </is>
      </c>
      <c r="M277" s="16" t="inlineStr">
        <is>
          <t>Screens: b-bo-workflows.png, b-flow-workflow-edit.png (evidence/ui-screens)</t>
        </is>
      </c>
      <c r="N277" s="16" t="inlineStr">
        <is>
          <t>2 Oct 2026</t>
        </is>
      </c>
      <c r="O277" s="16" t="inlineStr">
        <is>
          <t>iorta QA (manual, exploratory)</t>
        </is>
      </c>
      <c r="P277" s="16" t="inlineStr"/>
    </row>
    <row r="278">
      <c r="A278" s="15" t="inlineStr">
        <is>
          <t>CS-0277</t>
        </is>
      </c>
      <c r="B278" s="15" t="inlineStr">
        <is>
          <t>TS-51</t>
        </is>
      </c>
      <c r="C278" s="15" t="inlineStr">
        <is>
          <t>TC-148</t>
        </is>
      </c>
      <c r="D278" s="15" t="inlineStr">
        <is>
          <t>INT</t>
        </is>
      </c>
      <c r="E278" s="16" t="inlineStr">
        <is>
          <t>Inbound system-to-system API requires a valid key</t>
        </is>
      </c>
      <c r="F278" s="16" t="inlineStr">
        <is>
          <t>anonymous / Core system</t>
        </is>
      </c>
      <c r="G278" s="16" t="inlineStr">
        <is>
          <t>1. GET /api/v1/integration/policies?issuedOn=today without key, with a wrong key, with the configured key</t>
        </is>
      </c>
      <c r="H278" s="16" t="inlineStr">
        <is>
          <t>x-api-key</t>
        </is>
      </c>
      <c r="I278" s="16" t="inlineStr">
        <is>
          <t>No key → 401; wrong key → 401; valid key → 200 with the policies issued on a date</t>
        </is>
      </c>
      <c r="J278" s="15" t="inlineStr">
        <is>
          <t>API</t>
        </is>
      </c>
      <c r="K278" s="16" t="inlineStr">
        <is>
          <t>Executed – API run (tools/testing/api-test-run.mjs)</t>
        </is>
      </c>
      <c r="L278" s="17" t="inlineStr">
        <is>
          <t>Passed</t>
        </is>
      </c>
      <c r="M278" s="16" t="inlineStr">
        <is>
          <t>api-test-run.json EX-126: GET /api/v1/integration/policies?issuedOn (no key; wrong key; valid key) → 401 | 401 | 200 items=19</t>
        </is>
      </c>
      <c r="N278" s="16" t="inlineStr">
        <is>
          <t>2 Oct 2026 22:14 UTC</t>
        </is>
      </c>
      <c r="O278" s="16" t="inlineStr">
        <is>
          <t>iorta TechNXT QA (API run)</t>
        </is>
      </c>
      <c r="P278" s="16" t="inlineStr"/>
    </row>
    <row r="279">
      <c r="A279" s="15" t="inlineStr">
        <is>
          <t>CS-0278</t>
        </is>
      </c>
      <c r="B279" s="15" t="inlineStr">
        <is>
          <t>TS-51</t>
        </is>
      </c>
      <c r="C279" s="15" t="inlineStr">
        <is>
          <t>TC-148</t>
        </is>
      </c>
      <c r="D279" s="15" t="inlineStr">
        <is>
          <t>INT</t>
        </is>
      </c>
      <c r="E279" s="16" t="inlineStr">
        <is>
          <t>System-to-system API key (suite)</t>
        </is>
      </c>
      <c r="F279" s="16" t="inlineStr">
        <is>
          <t>ag-000001..3, finance, ops.maker, manager, system</t>
        </is>
      </c>
      <c r="G279" s="16" t="inlineStr">
        <is>
          <t>1. Run `npm run test:e2e -w apps/api` (rebuilds the iift_test database from the migrations and seeds)
2. GET /integration/policies without key, wrong key, valid key</t>
        </is>
      </c>
      <c r="H279" s="16" t="inlineStr">
        <is>
          <t>e2e-inbound-key</t>
        </is>
      </c>
      <c r="I279" s="16" t="inlineStr">
        <is>
          <t>401; 401; 200</t>
        </is>
      </c>
      <c r="J279" s="15" t="inlineStr">
        <is>
          <t>E2E</t>
        </is>
      </c>
      <c r="K279" s="16" t="inlineStr">
        <is>
          <t>Automated – apps/api/test/access-control.e2e-spec.ts › authenticates system-to-system calls with an API key</t>
        </is>
      </c>
      <c r="L279" s="17" t="inlineStr">
        <is>
          <t>Passed</t>
        </is>
      </c>
      <c r="M279" s="16" t="inlineStr">
        <is>
          <t>api-e2e-tests.json: 'Access control and input handling (AP-59, BO-02, COM-02, NFR-10/14/15) authenticates system-to-system calls with an API key' passed (2 Oct 2026 14:55 UTC); test-reruns.json: passed (2 Oct 2026 22:00 UTC)</t>
        </is>
      </c>
      <c r="N279" s="16" t="inlineStr">
        <is>
          <t>2 Oct 2026 22:00 UTC</t>
        </is>
      </c>
      <c r="O279" s="16" t="inlineStr">
        <is>
          <t>iorta QA (Vitest e2e, iift_test database)</t>
        </is>
      </c>
      <c r="P279" s="16" t="inlineStr"/>
    </row>
    <row r="280">
      <c r="A280" s="15" t="inlineStr">
        <is>
          <t>CS-0279</t>
        </is>
      </c>
      <c r="B280" s="15" t="inlineStr">
        <is>
          <t>TS-51</t>
        </is>
      </c>
      <c r="C280" s="15" t="inlineStr">
        <is>
          <t>TC-148</t>
        </is>
      </c>
      <c r="D280" s="15" t="inlineStr">
        <is>
          <t>INT</t>
        </is>
      </c>
      <c r="E280" s="16" t="inlineStr">
        <is>
          <t>SEC-30 (OWASP A07): System-to-system APIs require a valid API key</t>
        </is>
      </c>
      <c r="F280" s="16" t="inlineStr">
        <is>
          <t>Security tester</t>
        </is>
      </c>
      <c r="G280" s="16" t="inlineStr">
        <is>
          <t>1. Run `node tools/security/security-checks.mjs` against a fresh non-production instance with demonstration data
2. Read the result of SEC-30</t>
        </is>
      </c>
      <c r="H280" s="16" t="inlineStr">
        <is>
          <t>Demonstration users and records; crafted payloads as described in the script</t>
        </is>
      </c>
      <c r="I280" s="16" t="inlineStr">
        <is>
          <t>401 without a key and with a wrong key; valid key accepted</t>
        </is>
      </c>
      <c r="J280" s="15" t="inlineStr">
        <is>
          <t>Security</t>
        </is>
      </c>
      <c r="K280" s="16" t="inlineStr">
        <is>
          <t>Automated – tools/security/security-checks.mjs</t>
        </is>
      </c>
      <c r="L280" s="17" t="inlineStr">
        <is>
          <t>Passed</t>
        </is>
      </c>
      <c r="M280" s="16" t="inlineStr">
        <is>
          <t>security-checks.json: SEC-30 PASS (2 Oct 2026 14:57 UTC); evidence summarised in the Security Assessment Report</t>
        </is>
      </c>
      <c r="N280" s="16" t="inlineStr">
        <is>
          <t>2 Oct 2026 14:57 UTC</t>
        </is>
      </c>
      <c r="O280" s="16" t="inlineStr">
        <is>
          <t>iorta QA (security-checks.mjs)</t>
        </is>
      </c>
      <c r="P280" s="16" t="inlineStr"/>
    </row>
    <row r="281">
      <c r="A281" s="15" t="inlineStr">
        <is>
          <t>CS-0280</t>
        </is>
      </c>
      <c r="B281" s="15" t="inlineStr">
        <is>
          <t>TS-51</t>
        </is>
      </c>
      <c r="C281" s="15" t="inlineStr">
        <is>
          <t>TC-149</t>
        </is>
      </c>
      <c r="D281" s="15" t="inlineStr">
        <is>
          <t>INT</t>
        </is>
      </c>
      <c r="E281" s="16" t="inlineStr">
        <is>
          <t>Inbound data is validated: unknown agent code and malformed commission payload are refused</t>
        </is>
      </c>
      <c r="F281" s="16" t="inlineStr">
        <is>
          <t>Core / FIN system</t>
        </is>
      </c>
      <c r="G281" s="16" t="inlineStr">
        <is>
          <t>1. PUT /api/v1/integration/agents/AG-999999/status
2. POST /api/v1/integration/commissions/paid with items 'nope'</t>
        </is>
      </c>
      <c r="H281" s="16" t="inlineStr">
        <is>
          <t>Valid key</t>
        </is>
      </c>
      <c r="I281" s="16" t="inlineStr">
        <is>
          <t>PUT integration/agents/{unknown}/status → 404; POST integration/commissions/paid with a bad body → 400</t>
        </is>
      </c>
      <c r="J281" s="15" t="inlineStr">
        <is>
          <t>API</t>
        </is>
      </c>
      <c r="K281" s="16" t="inlineStr">
        <is>
          <t>Executed – API run (tools/testing/api-test-run.mjs)</t>
        </is>
      </c>
      <c r="L281" s="17" t="inlineStr">
        <is>
          <t>Passed</t>
        </is>
      </c>
      <c r="M281" s="16" t="inlineStr">
        <is>
          <t>api-test-run.json EX-127: PUT /api/v1/integration/agents/AG-999999/status; POST /api/v1/integration/commissions/paid (items: "nope") → 404 NOT_FOUND – Agent not found | 400 BAD_REQUEST – Some fields are invalid [items must contain no more than 1000 elements; items must be an array; each value in nested property items must be either object or array]</t>
        </is>
      </c>
      <c r="N281" s="16" t="inlineStr">
        <is>
          <t>2 Oct 2026 22:14 UTC</t>
        </is>
      </c>
      <c r="O281" s="16" t="inlineStr">
        <is>
          <t>iorta TechNXT QA (API run)</t>
        </is>
      </c>
      <c r="P281" s="16" t="inlineStr"/>
    </row>
    <row r="282">
      <c r="A282" s="15" t="inlineStr">
        <is>
          <t>CS-0281</t>
        </is>
      </c>
      <c r="B282" s="15" t="inlineStr">
        <is>
          <t>TS-51</t>
        </is>
      </c>
      <c r="C282" s="15" t="inlineStr">
        <is>
          <t>TC-150</t>
        </is>
      </c>
      <c r="D282" s="15" t="inlineStr">
        <is>
          <t>INT</t>
        </is>
      </c>
      <c r="E282" s="16" t="inlineStr">
        <is>
          <t>Outbound Core message acknowledged</t>
        </is>
      </c>
      <c r="F282" s="16" t="inlineStr">
        <is>
          <t>IITH IT</t>
        </is>
      </c>
      <c r="G282" s="16" t="inlineStr">
        <is>
          <t>1. Approve an agent in live mode
2. Check the Core acknowledgement</t>
        </is>
      </c>
      <c r="H282" s="16" t="inlineStr">
        <is>
          <t>Core endpoint</t>
        </is>
      </c>
      <c r="I282" s="16" t="inlineStr">
        <is>
          <t>AGENT_UPSERT delivered with reference</t>
        </is>
      </c>
      <c r="J282" s="15" t="inlineStr">
        <is>
          <t>SIT</t>
        </is>
      </c>
      <c r="K282" s="16" t="inlineStr">
        <is>
          <t>Not automated</t>
        </is>
      </c>
      <c r="L282" s="18" t="inlineStr">
        <is>
          <t>Not executed</t>
        </is>
      </c>
      <c r="M282" s="16" t="inlineStr">
        <is>
          <t>Not executed – requires IIFT environment</t>
        </is>
      </c>
      <c r="N282" s="16" t="inlineStr"/>
      <c r="O282" s="16" t="inlineStr"/>
      <c r="P282" s="16" t="inlineStr"/>
    </row>
    <row r="283">
      <c r="A283" s="15" t="inlineStr">
        <is>
          <t>CS-0282</t>
        </is>
      </c>
      <c r="B283" s="15" t="inlineStr">
        <is>
          <t>TS-52</t>
        </is>
      </c>
      <c r="C283" s="15" t="inlineStr">
        <is>
          <t>TC-151</t>
        </is>
      </c>
      <c r="D283" s="15" t="inlineStr">
        <is>
          <t>INT</t>
        </is>
      </c>
      <c r="E283" s="16" t="inlineStr">
        <is>
          <t>End-of-day cannot run for a future date and is restricted to Finance</t>
        </is>
      </c>
      <c r="F283" s="16" t="inlineStr">
        <is>
          <t>finance, ops.maker</t>
        </is>
      </c>
      <c r="G283" s="16" t="inlineStr">
        <is>
          <t>1. As finance POST /api/v1/backoffice/eod for tomorrow
2. As ops.maker POST eod for today</t>
        </is>
      </c>
      <c r="H283" s="16" t="inlineStr">
        <is>
          <t>Business date in Brunei time</t>
        </is>
      </c>
      <c r="I283" s="16" t="inlineStr">
        <is>
          <t>POST /backoffice/eod tomorrow → 422 FUTURE_DATE; ops.maker → 403</t>
        </is>
      </c>
      <c r="J283" s="15" t="inlineStr">
        <is>
          <t>API</t>
        </is>
      </c>
      <c r="K283" s="16" t="inlineStr">
        <is>
          <t>Executed – API run (tools/testing/api-test-run.mjs)</t>
        </is>
      </c>
      <c r="L283" s="17" t="inlineStr">
        <is>
          <t>Passed</t>
        </is>
      </c>
      <c r="M283" s="16" t="inlineStr">
        <is>
          <t>api-test-run.json EX-120: POST /api/v1/backoffice/eod (tomorrow; as ops.maker) → 422 FUTURE_DATE – End-of-day cannot run for a future date | 403</t>
        </is>
      </c>
      <c r="N283" s="16" t="inlineStr">
        <is>
          <t>2 Oct 2026 22:13 UTC</t>
        </is>
      </c>
      <c r="O283" s="16" t="inlineStr">
        <is>
          <t>iorta TechNXT QA (API run)</t>
        </is>
      </c>
      <c r="P283" s="16" t="inlineStr"/>
    </row>
    <row r="284">
      <c r="A284" s="15" t="inlineStr">
        <is>
          <t>CS-0283</t>
        </is>
      </c>
      <c r="B284" s="15" t="inlineStr">
        <is>
          <t>TS-52</t>
        </is>
      </c>
      <c r="C284" s="15" t="inlineStr">
        <is>
          <t>TC-152</t>
        </is>
      </c>
      <c r="D284" s="15" t="inlineStr">
        <is>
          <t>INT</t>
        </is>
      </c>
      <c r="E284" s="16" t="inlineStr">
        <is>
          <t>EOD postings carry revision-based idempotency keys</t>
        </is>
      </c>
      <c r="F284" s="16" t="inlineStr">
        <is>
          <t>finance</t>
        </is>
      </c>
      <c r="G284" s="16" t="inlineStr">
        <is>
          <t>1. GET integration/outbox?system=FINANCE and filter EOD_POSTING for today
2. Compare idempotencyKey with the revision</t>
        </is>
      </c>
      <c r="H284" s="16" t="inlineStr">
        <is>
          <t>Runs of EX-121</t>
        </is>
      </c>
      <c r="I284" s="16" t="inlineStr">
        <is>
          <t>Outbox shows EOD_POSTING messages for today with idempotencyKey EOD-&lt;date&gt;-R&lt;n&gt; and increasing revisions</t>
        </is>
      </c>
      <c r="J284" s="15" t="inlineStr">
        <is>
          <t>API</t>
        </is>
      </c>
      <c r="K284" s="16" t="inlineStr">
        <is>
          <t>Executed – API run (tools/testing/api-test-run.mjs)</t>
        </is>
      </c>
      <c r="L284" s="17" t="inlineStr">
        <is>
          <t>Passed</t>
        </is>
      </c>
      <c r="M284" s="16" t="inlineStr">
        <is>
          <t>api-test-run.json EX-122: GET /api/v1/backoffice/integration/outbox?system=FINANCE → keys=EOD-2026-10-03-R11,EOD-2026-10-03-R10,EOD-2026-10-03-R9,EOD-2026-10-03-R8,EOD-2026-10-03-R7,EOD-2026-10-03-R6,EOD-2026-10-03-R5,EOD-2026-10-03-R4,EOD-2026-10-03-R3,EOD-2026-10-03-R2,EOD-2026-10-03-R1</t>
        </is>
      </c>
      <c r="N284" s="16" t="inlineStr">
        <is>
          <t>2 Oct 2026 22:13 UTC</t>
        </is>
      </c>
      <c r="O284" s="16" t="inlineStr">
        <is>
          <t>iorta TechNXT QA (API run)</t>
        </is>
      </c>
      <c r="P284" s="16" t="inlineStr"/>
    </row>
    <row r="285">
      <c r="A285" s="15" t="inlineStr">
        <is>
          <t>CS-0284</t>
        </is>
      </c>
      <c r="B285" s="15" t="inlineStr">
        <is>
          <t>TS-52</t>
        </is>
      </c>
      <c r="C285" s="15" t="inlineStr">
        <is>
          <t>TC-152</t>
        </is>
      </c>
      <c r="D285" s="15" t="inlineStr">
        <is>
          <t>INT</t>
        </is>
      </c>
      <c r="E285" s="16" t="inlineStr">
        <is>
          <t>End-of-day runs for today and produces the EOD report and FIN file; a re-run replaces the revision</t>
        </is>
      </c>
      <c r="F285" s="16" t="inlineStr">
        <is>
          <t>finance</t>
        </is>
      </c>
      <c r="G285" s="16" t="inlineStr">
        <is>
          <t>1. As finance POST /api/v1/backoffice/eod for today, twice
2. GET /api/v1/common/documents/{finFileDocumentId}/content
3. GET /api/v1/backoffice/eod</t>
        </is>
      </c>
      <c r="H285" s="16" t="inlineStr">
        <is>
          <t>Today's issuance</t>
        </is>
      </c>
      <c r="I285" s="16" t="inlineStr">
        <is>
          <t>HTTP 201 COMPLETED with reportDocumentId and finFileDocumentId; second run returns the same run id; the FIN file contains record_type lines</t>
        </is>
      </c>
      <c r="J285" s="15" t="inlineStr">
        <is>
          <t>API</t>
        </is>
      </c>
      <c r="K285" s="16" t="inlineStr">
        <is>
          <t>Executed – API run (tools/testing/api-test-run.mjs)</t>
        </is>
      </c>
      <c r="L285" s="17" t="inlineStr">
        <is>
          <t>Passed</t>
        </is>
      </c>
      <c r="M285" s="16" t="inlineStr">
        <is>
          <t>api-test-run.json EX-121: POST /api/v1/backoffice/eod ×2; GET /api/v1/common/documents/{finFile}/content; GET /api/v1/backoffice/eod → 201 COMPLETED policies=19 | same id=true | FIN file 200 has record_type=true | runs 200</t>
        </is>
      </c>
      <c r="N285" s="16" t="inlineStr">
        <is>
          <t>2 Oct 2026 22:13 UTC</t>
        </is>
      </c>
      <c r="O285" s="16" t="inlineStr">
        <is>
          <t>iorta TechNXT QA (API run)</t>
        </is>
      </c>
      <c r="P285" s="16" t="inlineStr"/>
    </row>
    <row r="286">
      <c r="A286" s="15" t="inlineStr">
        <is>
          <t>CS-0285</t>
        </is>
      </c>
      <c r="B286" s="15" t="inlineStr">
        <is>
          <t>TS-52</t>
        </is>
      </c>
      <c r="C286" s="15" t="inlineStr">
        <is>
          <t>TC-152</t>
        </is>
      </c>
      <c r="D286" s="15" t="inlineStr">
        <is>
          <t>INT</t>
        </is>
      </c>
      <c r="E286" s="16" t="inlineStr">
        <is>
          <t>EOD, FIN posting, reconciliation, dead letter (suite)</t>
        </is>
      </c>
      <c r="F286" s="16" t="inlineStr">
        <is>
          <t>ag-000001, ops.checker, compliance, support, finance, manager</t>
        </is>
      </c>
      <c r="G286" s="16" t="inlineStr">
        <is>
          <t>1. Run `npm run test:e2e -w apps/api` (rebuilds the iift_test database from the migrations and seeds)
2. Run EOD twice; read idempotency keys; download FIN file; dispatch; reconcile; retry a DEAD message</t>
        </is>
      </c>
      <c r="H286" s="16" t="inlineStr">
        <is>
          <t>finance</t>
        </is>
      </c>
      <c r="I286" s="16" t="inlineStr">
        <is>
          <t>COMPLETED; same run id; keys R(n-1), R(n); file has record_type; FINANCE successCount &gt; 0; MATCHED; unknown operation stays DEAD</t>
        </is>
      </c>
      <c r="J286" s="15" t="inlineStr">
        <is>
          <t>E2E</t>
        </is>
      </c>
      <c r="K286" s="16" t="inlineStr">
        <is>
          <t>Automated – apps/api/test/operations.e2e-spec.ts › runs end-of-day, posts to FIN, reconciles and delivers integration messages (FFR EOD, INT-13..15)</t>
        </is>
      </c>
      <c r="L286" s="17" t="inlineStr">
        <is>
          <t>Passed</t>
        </is>
      </c>
      <c r="M286" s="16" t="inlineStr">
        <is>
          <t>api-e2e-tests.json: 'Back-office operations runs end-of-day, posts to FIN, reconciles and delivers integration messages (FFR EOD, INT-13..15)' passed (2 Oct 2026 14:55 UTC); test-reruns.json: passed (2 Oct 2026 22:00 UTC)</t>
        </is>
      </c>
      <c r="N286" s="16" t="inlineStr">
        <is>
          <t>2 Oct 2026 22:00 UTC</t>
        </is>
      </c>
      <c r="O286" s="16" t="inlineStr">
        <is>
          <t>iorta QA (Vitest e2e, iift_test database)</t>
        </is>
      </c>
      <c r="P286" s="16" t="inlineStr"/>
    </row>
    <row r="287">
      <c r="A287" s="15" t="inlineStr">
        <is>
          <t>CS-0286</t>
        </is>
      </c>
      <c r="B287" s="15" t="inlineStr">
        <is>
          <t>TS-52</t>
        </is>
      </c>
      <c r="C287" s="15" t="inlineStr">
        <is>
          <t>TC-152</t>
        </is>
      </c>
      <c r="D287" s="15" t="inlineStr">
        <is>
          <t>INT</t>
        </is>
      </c>
      <c r="E287" s="16" t="inlineStr">
        <is>
          <t>End-of-day run and re-run from the back-office</t>
        </is>
      </c>
      <c r="F287" s="16" t="inlineStr">
        <is>
          <t>finance</t>
        </is>
      </c>
      <c r="G287" s="16" t="inlineStr">
        <is>
          <t>1. End of day → Run
2. Confirm
3. Run again</t>
        </is>
      </c>
      <c r="H287" s="16" t="inlineStr">
        <is>
          <t>Today</t>
        </is>
      </c>
      <c r="I287" s="16" t="inlineStr">
        <is>
          <t>Run COMPLETED with files; re-run completes for the same date</t>
        </is>
      </c>
      <c r="J287" s="15" t="inlineStr">
        <is>
          <t>UI</t>
        </is>
      </c>
      <c r="K287" s="16" t="inlineStr">
        <is>
          <t>Manual (exploratory)</t>
        </is>
      </c>
      <c r="L287" s="17" t="inlineStr">
        <is>
          <t>Passed</t>
        </is>
      </c>
      <c r="M287" s="16" t="inlineStr">
        <is>
          <t>Screens: b-flow-eod-modal.png, b-flow-eod-done.png, b-bo-eod.png (evidence/ui-screens)</t>
        </is>
      </c>
      <c r="N287" s="16" t="inlineStr">
        <is>
          <t>2 Oct 2026</t>
        </is>
      </c>
      <c r="O287" s="16" t="inlineStr">
        <is>
          <t>iorta QA (manual, exploratory)</t>
        </is>
      </c>
      <c r="P287" s="16" t="inlineStr"/>
    </row>
    <row r="288">
      <c r="A288" s="15" t="inlineStr">
        <is>
          <t>CS-0287</t>
        </is>
      </c>
      <c r="B288" s="15" t="inlineStr">
        <is>
          <t>TS-52</t>
        </is>
      </c>
      <c r="C288" s="15" t="inlineStr">
        <is>
          <t>TC-153</t>
        </is>
      </c>
      <c r="D288" s="15" t="inlineStr">
        <is>
          <t>INT</t>
        </is>
      </c>
      <c r="E288" s="16" t="inlineStr">
        <is>
          <t>Daily reconciliation with FIN</t>
        </is>
      </c>
      <c r="F288" s="16" t="inlineStr">
        <is>
          <t>finance</t>
        </is>
      </c>
      <c r="G288" s="16" t="inlineStr">
        <is>
          <t>1. POST integration/reconciliations for today
2. GET integration/reconciliations</t>
        </is>
      </c>
      <c r="H288" s="16" t="inlineStr">
        <is>
          <t>Today's EOD</t>
        </is>
      </c>
      <c r="I288" s="16" t="inlineStr">
        <is>
          <t>POST reconciliations for today → 201 with status MATCHED; GET reconciliations lists it</t>
        </is>
      </c>
      <c r="J288" s="15" t="inlineStr">
        <is>
          <t>API</t>
        </is>
      </c>
      <c r="K288" s="16" t="inlineStr">
        <is>
          <t>Executed – API run (tools/testing/api-test-run.mjs)</t>
        </is>
      </c>
      <c r="L288" s="17" t="inlineStr">
        <is>
          <t>Passed</t>
        </is>
      </c>
      <c r="M288" s="16" t="inlineStr">
        <is>
          <t>api-test-run.json EX-124: POST /api/v1/backoffice/integration/reconciliations; GET …/reconciliations → 201 MATCHED | list 200 17</t>
        </is>
      </c>
      <c r="N288" s="16" t="inlineStr">
        <is>
          <t>2 Oct 2026 22:14 UTC</t>
        </is>
      </c>
      <c r="O288" s="16" t="inlineStr">
        <is>
          <t>iorta TechNXT QA (API run)</t>
        </is>
      </c>
      <c r="P288" s="16" t="inlineStr"/>
    </row>
    <row r="289">
      <c r="A289" s="15" t="inlineStr">
        <is>
          <t>CS-0288</t>
        </is>
      </c>
      <c r="B289" s="15" t="inlineStr">
        <is>
          <t>TS-52</t>
        </is>
      </c>
      <c r="C289" s="15" t="inlineStr">
        <is>
          <t>TC-153</t>
        </is>
      </c>
      <c r="D289" s="15" t="inlineStr">
        <is>
          <t>INT</t>
        </is>
      </c>
      <c r="E289" s="16" t="inlineStr">
        <is>
          <t>Reconciliation and integration monitor</t>
        </is>
      </c>
      <c r="F289" s="16" t="inlineStr">
        <is>
          <t>finance</t>
        </is>
      </c>
      <c r="G289" s="16" t="inlineStr">
        <is>
          <t>1. Integration → Reconciliation → run
2. Open logs
3. Open a failure</t>
        </is>
      </c>
      <c r="H289" s="16" t="inlineStr">
        <is>
          <t>Today</t>
        </is>
      </c>
      <c r="I289" s="16" t="inlineStr">
        <is>
          <t>MATCHED result; log entries; failure detail with message</t>
        </is>
      </c>
      <c r="J289" s="15" t="inlineStr">
        <is>
          <t>UI</t>
        </is>
      </c>
      <c r="K289" s="16" t="inlineStr">
        <is>
          <t>Manual (exploratory)</t>
        </is>
      </c>
      <c r="L289" s="17" t="inlineStr">
        <is>
          <t>Passed</t>
        </is>
      </c>
      <c r="M289" s="16" t="inlineStr">
        <is>
          <t>Screens: b-flow-recon.png, b-flow-int-log.png, b-flow-failure.png, b-bo-integration.png (evidence/ui-screens)</t>
        </is>
      </c>
      <c r="N289" s="16" t="inlineStr">
        <is>
          <t>2 Oct 2026</t>
        </is>
      </c>
      <c r="O289" s="16" t="inlineStr">
        <is>
          <t>iorta QA (manual, exploratory)</t>
        </is>
      </c>
      <c r="P289" s="16" t="inlineStr"/>
    </row>
    <row r="290">
      <c r="A290" s="15" t="inlineStr">
        <is>
          <t>CS-0289</t>
        </is>
      </c>
      <c r="B290" s="15" t="inlineStr">
        <is>
          <t>TS-52</t>
        </is>
      </c>
      <c r="C290" s="15" t="inlineStr">
        <is>
          <t>TC-154</t>
        </is>
      </c>
      <c r="D290" s="15" t="inlineStr">
        <is>
          <t>INT</t>
        </is>
      </c>
      <c r="E290" s="16" t="inlineStr">
        <is>
          <t>Scheduled EOD at 23:30 Brunei time</t>
        </is>
      </c>
      <c r="F290" s="16" t="inlineStr">
        <is>
          <t>System</t>
        </is>
      </c>
      <c r="G290" s="16" t="inlineStr">
        <is>
          <t>1. Enable jobs; wait for the schedule</t>
        </is>
      </c>
      <c r="H290" s="16" t="inlineStr">
        <is>
          <t>EOD_CRON</t>
        </is>
      </c>
      <c r="I290" s="16" t="inlineStr">
        <is>
          <t>EOD run COMPLETED automatically with a job lock</t>
        </is>
      </c>
      <c r="J290" s="15" t="inlineStr">
        <is>
          <t>SIT</t>
        </is>
      </c>
      <c r="K290" s="16" t="inlineStr">
        <is>
          <t>Not automated</t>
        </is>
      </c>
      <c r="L290" s="18" t="inlineStr">
        <is>
          <t>Not executed</t>
        </is>
      </c>
      <c r="M290" s="16" t="inlineStr">
        <is>
          <t>Not executed – time-based; SIT overnight run</t>
        </is>
      </c>
      <c r="N290" s="16" t="inlineStr"/>
      <c r="O290" s="16" t="inlineStr"/>
      <c r="P290" s="16" t="inlineStr"/>
    </row>
    <row r="291">
      <c r="A291" s="15" t="inlineStr">
        <is>
          <t>CS-0290</t>
        </is>
      </c>
      <c r="B291" s="15" t="inlineStr">
        <is>
          <t>TS-53</t>
        </is>
      </c>
      <c r="C291" s="15" t="inlineStr">
        <is>
          <t>TC-155</t>
        </is>
      </c>
      <c r="D291" s="15" t="inlineStr">
        <is>
          <t>INT</t>
        </is>
      </c>
      <c r="E291" s="16" t="inlineStr">
        <is>
          <t>Integration monitor: summary per system, outbox and logs</t>
        </is>
      </c>
      <c r="F291" s="16" t="inlineStr">
        <is>
          <t>finance</t>
        </is>
      </c>
      <c r="G291" s="16" t="inlineStr">
        <is>
          <t>1. Wait for the dispatcher (20 s)
2. GET integration/summary
3. GET outbox?status=SENT
4. GET logs?system=FINANCE</t>
        </is>
      </c>
      <c r="H291" s="16" t="inlineStr">
        <is>
          <t>INTEGRATION_MODE simulated</t>
        </is>
      </c>
      <c r="I291" s="16" t="inlineStr">
        <is>
          <t>GET summary → 200 with FINANCE successCount &gt; 0; GET outbox?status=SENT → 200; GET logs?system=FINANCE → 200 with request summaries</t>
        </is>
      </c>
      <c r="J291" s="15" t="inlineStr">
        <is>
          <t>API</t>
        </is>
      </c>
      <c r="K291" s="16" t="inlineStr">
        <is>
          <t>Executed – API run (tools/testing/api-test-run.mjs)</t>
        </is>
      </c>
      <c r="L291" s="17" t="inlineStr">
        <is>
          <t>Passed</t>
        </is>
      </c>
      <c r="M291" s="16" t="inlineStr">
        <is>
          <t>api-test-run.json EX-123: GET /api/v1/backoffice/integration/summary; outbox?status=SENT; logs?system=FINANCE → 200 FINANCE success=122 failed=0 | sent 200 282 | logs 200 122</t>
        </is>
      </c>
      <c r="N291" s="16" t="inlineStr">
        <is>
          <t>2 Oct 2026 22:13 UTC</t>
        </is>
      </c>
      <c r="O291" s="16" t="inlineStr">
        <is>
          <t>iorta TechNXT QA (API run)</t>
        </is>
      </c>
      <c r="P291" s="16" t="inlineStr"/>
    </row>
    <row r="292">
      <c r="A292" s="15" t="inlineStr">
        <is>
          <t>CS-0291</t>
        </is>
      </c>
      <c r="B292" s="15" t="inlineStr">
        <is>
          <t>TS-53</t>
        </is>
      </c>
      <c r="C292" s="15" t="inlineStr">
        <is>
          <t>TC-156</t>
        </is>
      </c>
      <c r="D292" s="15" t="inlineStr">
        <is>
          <t>INT</t>
        </is>
      </c>
      <c r="E292" s="16" t="inlineStr">
        <is>
          <t>Only failed or dead-lettered messages can be retried</t>
        </is>
      </c>
      <c r="F292" s="16" t="inlineStr">
        <is>
          <t>finance</t>
        </is>
      </c>
      <c r="G292" s="16" t="inlineStr">
        <is>
          <t>1. POST integration/outbox/{SENT message}/retry</t>
        </is>
      </c>
      <c r="H292" s="16" t="inlineStr">
        <is>
          <t>Any delivered message</t>
        </is>
      </c>
      <c r="I292" s="16" t="inlineStr">
        <is>
          <t>POST outbox/{sent message}/retry → 422 (or 409)</t>
        </is>
      </c>
      <c r="J292" s="15" t="inlineStr">
        <is>
          <t>API</t>
        </is>
      </c>
      <c r="K292" s="16" t="inlineStr">
        <is>
          <t>Executed – API run (tools/testing/api-test-run.mjs)</t>
        </is>
      </c>
      <c r="L292" s="17" t="inlineStr">
        <is>
          <t>Passed</t>
        </is>
      </c>
      <c r="M292" s="16" t="inlineStr">
        <is>
          <t>api-test-run.json EX-125: POST /api/v1/backoffice/integration/outbox/b8dd644f-6402-423a-bfab-4a1db8670b4d/retry → 422 ALREADY_SENT – This message has already been delivered</t>
        </is>
      </c>
      <c r="N292" s="16" t="inlineStr">
        <is>
          <t>2 Oct 2026 22:14 UTC</t>
        </is>
      </c>
      <c r="O292" s="16" t="inlineStr">
        <is>
          <t>iorta TechNXT QA (API run)</t>
        </is>
      </c>
      <c r="P292" s="16" t="inlineStr"/>
    </row>
    <row r="293">
      <c r="A293" s="15" t="inlineStr">
        <is>
          <t>CS-0292</t>
        </is>
      </c>
      <c r="B293" s="15" t="inlineStr">
        <is>
          <t>TS-53</t>
        </is>
      </c>
      <c r="C293" s="15" t="inlineStr">
        <is>
          <t>TC-156</t>
        </is>
      </c>
      <c r="D293" s="15" t="inlineStr">
        <is>
          <t>INT</t>
        </is>
      </c>
      <c r="E293" s="16" t="inlineStr">
        <is>
          <t>Dead-letter alert e-mail</t>
        </is>
      </c>
      <c r="F293" s="16" t="inlineStr">
        <is>
          <t>Support</t>
        </is>
      </c>
      <c r="G293" s="16" t="inlineStr">
        <is>
          <t>1. Force 6 failed attempts for a message
2. Check the alert</t>
        </is>
      </c>
      <c r="H293" s="16" t="inlineStr">
        <is>
          <t>integration.max_attempts = 6</t>
        </is>
      </c>
      <c r="I293" s="16" t="inlineStr">
        <is>
          <t>Message DEAD; integration support e-mailed</t>
        </is>
      </c>
      <c r="J293" s="15" t="inlineStr">
        <is>
          <t>SIT</t>
        </is>
      </c>
      <c r="K293" s="16" t="inlineStr">
        <is>
          <t>Not automated</t>
        </is>
      </c>
      <c r="L293" s="18" t="inlineStr">
        <is>
          <t>Not executed</t>
        </is>
      </c>
      <c r="M293" s="16" t="inlineStr">
        <is>
          <t>Not executed – needs a failing live endpoint; dead-letter handling verified in the suite</t>
        </is>
      </c>
      <c r="N293" s="16" t="inlineStr"/>
      <c r="O293" s="16" t="inlineStr"/>
      <c r="P293" s="16" t="inlineStr"/>
    </row>
    <row r="294">
      <c r="A294" s="15" t="inlineStr">
        <is>
          <t>CS-0293</t>
        </is>
      </c>
      <c r="B294" s="15" t="inlineStr">
        <is>
          <t>TS-54</t>
        </is>
      </c>
      <c r="C294" s="15" t="inlineStr">
        <is>
          <t>TC-157</t>
        </is>
      </c>
      <c r="D294" s="15" t="inlineStr">
        <is>
          <t>INT</t>
        </is>
      </c>
      <c r="E294" s="16" t="inlineStr">
        <is>
          <t>SMTP and SMS failure retry</t>
        </is>
      </c>
      <c r="F294" s="16" t="inlineStr">
        <is>
          <t>System</t>
        </is>
      </c>
      <c r="G294" s="16" t="inlineStr">
        <is>
          <t>1. Point the gateway to an unreachable host
2. Trigger a notification
3. Restore</t>
        </is>
      </c>
      <c r="H294" s="16" t="inlineStr">
        <is>
          <t>notification.max_attempts = 5</t>
        </is>
      </c>
      <c r="I294" s="16" t="inlineStr">
        <is>
          <t>Attempts logged with back-off; delivered after restore</t>
        </is>
      </c>
      <c r="J294" s="15" t="inlineStr">
        <is>
          <t>SIT</t>
        </is>
      </c>
      <c r="K294" s="16" t="inlineStr">
        <is>
          <t>Not automated</t>
        </is>
      </c>
      <c r="L294" s="18" t="inlineStr">
        <is>
          <t>Not executed</t>
        </is>
      </c>
      <c r="M294" s="16" t="inlineStr">
        <is>
          <t>Not executed – requires IIFT environment</t>
        </is>
      </c>
      <c r="N294" s="16" t="inlineStr"/>
      <c r="O294" s="16" t="inlineStr"/>
      <c r="P294" s="16" t="inlineStr"/>
    </row>
    <row r="295">
      <c r="A295" s="15" t="inlineStr">
        <is>
          <t>CS-0294</t>
        </is>
      </c>
      <c r="B295" s="15" t="inlineStr">
        <is>
          <t>TS-54</t>
        </is>
      </c>
      <c r="C295" s="15" t="inlineStr">
        <is>
          <t>TC-158</t>
        </is>
      </c>
      <c r="D295" s="15" t="inlineStr">
        <is>
          <t>INT</t>
        </is>
      </c>
      <c r="E295" s="16" t="inlineStr">
        <is>
          <t>External AML service screening</t>
        </is>
      </c>
      <c r="F295" s="16" t="inlineStr">
        <is>
          <t>Compliance</t>
        </is>
      </c>
      <c r="G295" s="16" t="inlineStr">
        <is>
          <t>1. Configure AML_API_BASE_URL
2. Register a participant</t>
        </is>
      </c>
      <c r="H295" s="16" t="inlineStr">
        <is>
          <t>Provider sandbox</t>
        </is>
      </c>
      <c r="I295" s="16" t="inlineStr">
        <is>
          <t>Provider matches recorded alongside watch-list matches</t>
        </is>
      </c>
      <c r="J295" s="15" t="inlineStr">
        <is>
          <t>SIT</t>
        </is>
      </c>
      <c r="K295" s="16" t="inlineStr">
        <is>
          <t>Not automated</t>
        </is>
      </c>
      <c r="L295" s="18" t="inlineStr">
        <is>
          <t>Not executed</t>
        </is>
      </c>
      <c r="M295" s="16" t="inlineStr">
        <is>
          <t>Not executed – requires IIFT environment (AML provider)</t>
        </is>
      </c>
      <c r="N295" s="16" t="inlineStr"/>
      <c r="O295" s="16" t="inlineStr"/>
      <c r="P295" s="16" t="inlineStr"/>
    </row>
    <row r="296">
      <c r="A296" s="15" t="inlineStr">
        <is>
          <t>CS-0295</t>
        </is>
      </c>
      <c r="B296" s="15" t="inlineStr">
        <is>
          <t>TS-54</t>
        </is>
      </c>
      <c r="C296" s="15" t="inlineStr">
        <is>
          <t>TC-159</t>
        </is>
      </c>
      <c r="D296" s="15" t="inlineStr">
        <is>
          <t>INT</t>
        </is>
      </c>
      <c r="E296" s="16" t="inlineStr">
        <is>
          <t>Core and FIN live delivery</t>
        </is>
      </c>
      <c r="F296" s="16" t="inlineStr">
        <is>
          <t>IITH IT</t>
        </is>
      </c>
      <c r="G296" s="16" t="inlineStr">
        <is>
          <t>1. Set INTEGRATION_MODE=live with Core and FIN endpoints
2. Issue a policy; run EOD</t>
        </is>
      </c>
      <c r="H296" s="16" t="inlineStr">
        <is>
          <t>Core/FIN test endpoints</t>
        </is>
      </c>
      <c r="I296" s="16" t="inlineStr">
        <is>
          <t>Messages acknowledged; FIN file ingested; reconciliation MATCHED</t>
        </is>
      </c>
      <c r="J296" s="15" t="inlineStr">
        <is>
          <t>SIT</t>
        </is>
      </c>
      <c r="K296" s="16" t="inlineStr">
        <is>
          <t>Not automated</t>
        </is>
      </c>
      <c r="L296" s="18" t="inlineStr">
        <is>
          <t>Not executed</t>
        </is>
      </c>
      <c r="M296" s="16" t="inlineStr">
        <is>
          <t>Not executed – requires IIFT environment (Core and FIN endpoints)</t>
        </is>
      </c>
      <c r="N296" s="16" t="inlineStr"/>
      <c r="O296" s="16" t="inlineStr"/>
      <c r="P296" s="16" t="inlineStr"/>
    </row>
    <row r="297">
      <c r="A297" s="15" t="inlineStr">
        <is>
          <t>CS-0296</t>
        </is>
      </c>
      <c r="B297" s="15" t="inlineStr">
        <is>
          <t>TS-55</t>
        </is>
      </c>
      <c r="C297" s="15" t="inlineStr">
        <is>
          <t>TC-160</t>
        </is>
      </c>
      <c r="D297" s="15" t="inlineStr">
        <is>
          <t>SEC</t>
        </is>
      </c>
      <c r="E297" s="16" t="inlineStr">
        <is>
          <t>FieldCryptoService: detects tampering through the authentication tag</t>
        </is>
      </c>
      <c r="F297" s="16" t="inlineStr">
        <is>
          <t>Developer / CI</t>
        </is>
      </c>
      <c r="G297" s="16" t="inlineStr">
        <is>
          <t>1. Run `npm test -w apps/api` (Vitest)
2. Locate 'FieldCryptoService detects tampering through the authentication tag' in the run output</t>
        </is>
      </c>
      <c r="H297" s="16" t="inlineStr">
        <is>
          <t>Fixtures defined in common/crypto/field-crypto.service.spec.ts</t>
        </is>
      </c>
      <c r="I297" s="16" t="inlineStr">
        <is>
          <t>The test passes: FieldCryptoService detects tampering through the authentication tag.</t>
        </is>
      </c>
      <c r="J297" s="15" t="inlineStr">
        <is>
          <t>Unit</t>
        </is>
      </c>
      <c r="K297" s="16" t="inlineStr">
        <is>
          <t>Automated – common/crypto/field-crypto.service.spec.ts</t>
        </is>
      </c>
      <c r="L297" s="17" t="inlineStr">
        <is>
          <t>Passed</t>
        </is>
      </c>
      <c r="M297" s="16" t="inlineStr">
        <is>
          <t>api-unit-tests.json: 'FieldCryptoService detects tampering through the authentication tag' passed (2 Oct 2026 14:55 UTC); test-reruns.json: passed (2 Oct 2026 21:45 UTC)</t>
        </is>
      </c>
      <c r="N297" s="16" t="inlineStr">
        <is>
          <t>2 Oct 2026 21:45 UTC</t>
        </is>
      </c>
      <c r="O297" s="16" t="inlineStr">
        <is>
          <t>iorta QA (Vitest)</t>
        </is>
      </c>
      <c r="P297" s="16" t="inlineStr"/>
    </row>
    <row r="298">
      <c r="A298" s="15" t="inlineStr">
        <is>
          <t>CS-0297</t>
        </is>
      </c>
      <c r="B298" s="15" t="inlineStr">
        <is>
          <t>TS-55</t>
        </is>
      </c>
      <c r="C298" s="15" t="inlineStr">
        <is>
          <t>TC-160</t>
        </is>
      </c>
      <c r="D298" s="15" t="inlineStr">
        <is>
          <t>SEC</t>
        </is>
      </c>
      <c r="E298" s="16" t="inlineStr">
        <is>
          <t>FieldCryptoService: normalises and masks identifiers</t>
        </is>
      </c>
      <c r="F298" s="16" t="inlineStr">
        <is>
          <t>Developer / CI</t>
        </is>
      </c>
      <c r="G298" s="16" t="inlineStr">
        <is>
          <t>1. Run `npm test -w apps/api` (Vitest)
2. Locate 'FieldCryptoService normalises and masks identifiers' in the run output</t>
        </is>
      </c>
      <c r="H298" s="16" t="inlineStr">
        <is>
          <t>Fixtures defined in common/crypto/field-crypto.service.spec.ts</t>
        </is>
      </c>
      <c r="I298" s="16" t="inlineStr">
        <is>
          <t>The test passes: FieldCryptoService normalises and masks identifiers.</t>
        </is>
      </c>
      <c r="J298" s="15" t="inlineStr">
        <is>
          <t>Unit</t>
        </is>
      </c>
      <c r="K298" s="16" t="inlineStr">
        <is>
          <t>Automated – common/crypto/field-crypto.service.spec.ts</t>
        </is>
      </c>
      <c r="L298" s="17" t="inlineStr">
        <is>
          <t>Passed</t>
        </is>
      </c>
      <c r="M298" s="16" t="inlineStr">
        <is>
          <t>api-unit-tests.json: 'FieldCryptoService normalises and masks identifiers' passed (2 Oct 2026 14:55 UTC); test-reruns.json: passed (2 Oct 2026 21:45 UTC)</t>
        </is>
      </c>
      <c r="N298" s="16" t="inlineStr">
        <is>
          <t>2 Oct 2026 21:45 UTC</t>
        </is>
      </c>
      <c r="O298" s="16" t="inlineStr">
        <is>
          <t>iorta QA (Vitest)</t>
        </is>
      </c>
      <c r="P298" s="16" t="inlineStr"/>
    </row>
    <row r="299">
      <c r="A299" s="15" t="inlineStr">
        <is>
          <t>CS-0298</t>
        </is>
      </c>
      <c r="B299" s="15" t="inlineStr">
        <is>
          <t>TS-55</t>
        </is>
      </c>
      <c r="C299" s="15" t="inlineStr">
        <is>
          <t>TC-160</t>
        </is>
      </c>
      <c r="D299" s="15" t="inlineStr">
        <is>
          <t>SEC</t>
        </is>
      </c>
      <c r="E299" s="16" t="inlineStr">
        <is>
          <t>FieldCryptoService: produces the same blind index for differently formatted identifiers</t>
        </is>
      </c>
      <c r="F299" s="16" t="inlineStr">
        <is>
          <t>Developer / CI</t>
        </is>
      </c>
      <c r="G299" s="16" t="inlineStr">
        <is>
          <t>1. Run `npm test -w apps/api` (Vitest)
2. Locate 'FieldCryptoService produces the same blind index for differently formatted identifiers' in the run output</t>
        </is>
      </c>
      <c r="H299" s="16" t="inlineStr">
        <is>
          <t>Fixtures defined in common/crypto/field-crypto.service.spec.ts</t>
        </is>
      </c>
      <c r="I299" s="16" t="inlineStr">
        <is>
          <t>The test passes: FieldCryptoService produces the same blind index for differently formatted identifiers.</t>
        </is>
      </c>
      <c r="J299" s="15" t="inlineStr">
        <is>
          <t>Unit</t>
        </is>
      </c>
      <c r="K299" s="16" t="inlineStr">
        <is>
          <t>Automated – common/crypto/field-crypto.service.spec.ts</t>
        </is>
      </c>
      <c r="L299" s="17" t="inlineStr">
        <is>
          <t>Passed</t>
        </is>
      </c>
      <c r="M299" s="16" t="inlineStr">
        <is>
          <t>api-unit-tests.json: 'FieldCryptoService produces the same blind index for differently formatted identifiers' passed (2 Oct 2026 14:55 UTC); test-reruns.json: passed (2 Oct 2026 21:45 UTC)</t>
        </is>
      </c>
      <c r="N299" s="16" t="inlineStr">
        <is>
          <t>2 Oct 2026 21:45 UTC</t>
        </is>
      </c>
      <c r="O299" s="16" t="inlineStr">
        <is>
          <t>iorta QA (Vitest)</t>
        </is>
      </c>
      <c r="P299" s="16" t="inlineStr"/>
    </row>
    <row r="300">
      <c r="A300" s="15" t="inlineStr">
        <is>
          <t>CS-0299</t>
        </is>
      </c>
      <c r="B300" s="15" t="inlineStr">
        <is>
          <t>TS-55</t>
        </is>
      </c>
      <c r="C300" s="15" t="inlineStr">
        <is>
          <t>TC-160</t>
        </is>
      </c>
      <c r="D300" s="15" t="inlineStr">
        <is>
          <t>SEC</t>
        </is>
      </c>
      <c r="E300" s="16" t="inlineStr">
        <is>
          <t>FieldCryptoService: round-trips a value and never produces the same ciphertext twice</t>
        </is>
      </c>
      <c r="F300" s="16" t="inlineStr">
        <is>
          <t>Developer / CI</t>
        </is>
      </c>
      <c r="G300" s="16" t="inlineStr">
        <is>
          <t>1. Run `npm test -w apps/api` (Vitest)
2. Locate 'FieldCryptoService round-trips a value and never produces the same ciphertext twice' in the run output</t>
        </is>
      </c>
      <c r="H300" s="16" t="inlineStr">
        <is>
          <t>Fixtures defined in common/crypto/field-crypto.service.spec.ts</t>
        </is>
      </c>
      <c r="I300" s="16" t="inlineStr">
        <is>
          <t>The test passes: FieldCryptoService round-trips a value and never produces the same ciphertext twice.</t>
        </is>
      </c>
      <c r="J300" s="15" t="inlineStr">
        <is>
          <t>Unit</t>
        </is>
      </c>
      <c r="K300" s="16" t="inlineStr">
        <is>
          <t>Automated – common/crypto/field-crypto.service.spec.ts</t>
        </is>
      </c>
      <c r="L300" s="17" t="inlineStr">
        <is>
          <t>Passed</t>
        </is>
      </c>
      <c r="M300" s="16" t="inlineStr">
        <is>
          <t>api-unit-tests.json: 'FieldCryptoService round-trips a value and never produces the same ciphertext twice' passed (2 Oct 2026 14:55 UTC); test-reruns.json: passed (2 Oct 2026 21:45 UTC)</t>
        </is>
      </c>
      <c r="N300" s="16" t="inlineStr">
        <is>
          <t>2 Oct 2026 21:45 UTC</t>
        </is>
      </c>
      <c r="O300" s="16" t="inlineStr">
        <is>
          <t>iorta QA (Vitest)</t>
        </is>
      </c>
      <c r="P300" s="16" t="inlineStr"/>
    </row>
    <row r="301">
      <c r="A301" s="15" t="inlineStr">
        <is>
          <t>CS-0300</t>
        </is>
      </c>
      <c r="B301" s="15" t="inlineStr">
        <is>
          <t>TS-55</t>
        </is>
      </c>
      <c r="C301" s="15" t="inlineStr">
        <is>
          <t>TC-161</t>
        </is>
      </c>
      <c r="D301" s="15" t="inlineStr">
        <is>
          <t>SEC</t>
        </is>
      </c>
      <c r="E301" s="16" t="inlineStr">
        <is>
          <t>Identification numbers encrypted and masked (suite)</t>
        </is>
      </c>
      <c r="F301" s="16" t="inlineStr">
        <is>
          <t>ag-000001..3, finance, ops.maker, manager, system</t>
        </is>
      </c>
      <c r="G301" s="16" t="inlineStr">
        <is>
          <t>1. Run `npm run test:e2e -w apps/api` (rebuilds the iift_test database from the migrations and seeds)
2. Read idNumberEnc in the database; GET /backoffice/participants/{id} as manager</t>
        </is>
      </c>
      <c r="H301" s="16" t="inlineStr">
        <is>
          <t>First participant</t>
        </is>
      </c>
      <c r="I301" s="16" t="inlineStr">
        <is>
          <t>Ciphertext starts 'v1:'; idNumberMasked ****1234; no idNumberEnc in the response</t>
        </is>
      </c>
      <c r="J301" s="15" t="inlineStr">
        <is>
          <t>E2E</t>
        </is>
      </c>
      <c r="K301" s="16" t="inlineStr">
        <is>
          <t>Automated – apps/api/test/access-control.e2e-spec.ts › stores identification numbers encrypted and shows them masked</t>
        </is>
      </c>
      <c r="L301" s="17" t="inlineStr">
        <is>
          <t>Passed</t>
        </is>
      </c>
      <c r="M301" s="16" t="inlineStr">
        <is>
          <t>api-e2e-tests.json: 'Access control and input handling (AP-59, BO-02, COM-02, NFR-10/14/15) stores identification numbers encrypted and shows them masked' passed (2 Oct 2026 14:55 UTC); test-reruns.json: passed (2 Oct 2026 22:00 UTC)</t>
        </is>
      </c>
      <c r="N301" s="16" t="inlineStr">
        <is>
          <t>2 Oct 2026 22:00 UTC</t>
        </is>
      </c>
      <c r="O301" s="16" t="inlineStr">
        <is>
          <t>iorta QA (Vitest e2e, iift_test database)</t>
        </is>
      </c>
      <c r="P301" s="16" t="inlineStr"/>
    </row>
    <row r="302">
      <c r="A302" s="15" t="inlineStr">
        <is>
          <t>CS-0301</t>
        </is>
      </c>
      <c r="B302" s="15" t="inlineStr">
        <is>
          <t>TS-55</t>
        </is>
      </c>
      <c r="C302" s="15" t="inlineStr">
        <is>
          <t>TC-161</t>
        </is>
      </c>
      <c r="D302" s="15" t="inlineStr">
        <is>
          <t>SEC</t>
        </is>
      </c>
      <c r="E302" s="16" t="inlineStr">
        <is>
          <t>SEC-25 (OWASP A02): Identification numbers are returned masked; ciphertext and hashes are never returned</t>
        </is>
      </c>
      <c r="F302" s="16" t="inlineStr">
        <is>
          <t>Security tester</t>
        </is>
      </c>
      <c r="G302" s="16" t="inlineStr">
        <is>
          <t>1. Run `node tools/security/security-checks.mjs` against a fresh non-production instance with demonstration data
2. Read the result of SEC-25</t>
        </is>
      </c>
      <c r="H302" s="16" t="inlineStr">
        <is>
          <t>Demonstration users and records; crafted payloads as described in the script</t>
        </is>
      </c>
      <c r="I302" s="16" t="inlineStr">
        <is>
          <t>Identifiers masked; no ciphertext or blind index returned</t>
        </is>
      </c>
      <c r="J302" s="15" t="inlineStr">
        <is>
          <t>Security</t>
        </is>
      </c>
      <c r="K302" s="16" t="inlineStr">
        <is>
          <t>Automated – tools/security/security-checks.mjs</t>
        </is>
      </c>
      <c r="L302" s="17" t="inlineStr">
        <is>
          <t>Passed</t>
        </is>
      </c>
      <c r="M302" s="16" t="inlineStr">
        <is>
          <t>security-checks.json: SEC-25 PASS (2 Oct 2026 14:57 UTC); evidence summarised in the Security Assessment Report</t>
        </is>
      </c>
      <c r="N302" s="16" t="inlineStr">
        <is>
          <t>2 Oct 2026 14:57 UTC</t>
        </is>
      </c>
      <c r="O302" s="16" t="inlineStr">
        <is>
          <t>iorta QA (security-checks.mjs)</t>
        </is>
      </c>
      <c r="P302" s="16" t="inlineStr"/>
    </row>
    <row r="303">
      <c r="A303" s="15" t="inlineStr">
        <is>
          <t>CS-0302</t>
        </is>
      </c>
      <c r="B303" s="15" t="inlineStr">
        <is>
          <t>TS-55</t>
        </is>
      </c>
      <c r="C303" s="15" t="inlineStr">
        <is>
          <t>TC-161</t>
        </is>
      </c>
      <c r="D303" s="15" t="inlineStr">
        <is>
          <t>SEC</t>
        </is>
      </c>
      <c r="E303" s="16" t="inlineStr">
        <is>
          <t>SEC-26 (OWASP A02): Password hashes are never returned by the API</t>
        </is>
      </c>
      <c r="F303" s="16" t="inlineStr">
        <is>
          <t>Security tester</t>
        </is>
      </c>
      <c r="G303" s="16" t="inlineStr">
        <is>
          <t>1. Run `node tools/security/security-checks.mjs` against a fresh non-production instance with demonstration data
2. Read the result of SEC-26</t>
        </is>
      </c>
      <c r="H303" s="16" t="inlineStr">
        <is>
          <t>Demonstration users and records; crafted payloads as described in the script</t>
        </is>
      </c>
      <c r="I303" s="16" t="inlineStr">
        <is>
          <t>No password hash in any user response</t>
        </is>
      </c>
      <c r="J303" s="15" t="inlineStr">
        <is>
          <t>Security</t>
        </is>
      </c>
      <c r="K303" s="16" t="inlineStr">
        <is>
          <t>Automated – tools/security/security-checks.mjs</t>
        </is>
      </c>
      <c r="L303" s="17" t="inlineStr">
        <is>
          <t>Passed</t>
        </is>
      </c>
      <c r="M303" s="16" t="inlineStr">
        <is>
          <t>security-checks.json: SEC-26 PASS (2 Oct 2026 14:57 UTC); evidence summarised in the Security Assessment Report</t>
        </is>
      </c>
      <c r="N303" s="16" t="inlineStr">
        <is>
          <t>2 Oct 2026 14:57 UTC</t>
        </is>
      </c>
      <c r="O303" s="16" t="inlineStr">
        <is>
          <t>iorta QA (security-checks.mjs)</t>
        </is>
      </c>
      <c r="P303" s="16" t="inlineStr"/>
    </row>
    <row r="304">
      <c r="A304" s="15" t="inlineStr">
        <is>
          <t>CS-0303</t>
        </is>
      </c>
      <c r="B304" s="15" t="inlineStr">
        <is>
          <t>TS-55</t>
        </is>
      </c>
      <c r="C304" s="15" t="inlineStr">
        <is>
          <t>TC-162</t>
        </is>
      </c>
      <c r="D304" s="15" t="inlineStr">
        <is>
          <t>SEC</t>
        </is>
      </c>
      <c r="E304" s="16" t="inlineStr">
        <is>
          <t>TLS, HSTS and database encryption in the target environment</t>
        </is>
      </c>
      <c r="F304" s="16" t="inlineStr">
        <is>
          <t>IITH IT</t>
        </is>
      </c>
      <c r="G304" s="16" t="inlineStr">
        <is>
          <t>1. Inspect the load balancer certificate and HSTS
2. Check sslmode=require and backup encryption</t>
        </is>
      </c>
      <c r="H304" s="16" t="inlineStr">
        <is>
          <t>IIFT environment</t>
        </is>
      </c>
      <c r="I304" s="16" t="inlineStr">
        <is>
          <t>TLS 1.2+; HSTS; encrypted connections and backups</t>
        </is>
      </c>
      <c r="J304" s="15" t="inlineStr">
        <is>
          <t>SIT</t>
        </is>
      </c>
      <c r="K304" s="16" t="inlineStr">
        <is>
          <t>Not automated</t>
        </is>
      </c>
      <c r="L304" s="18" t="inlineStr">
        <is>
          <t>Not executed</t>
        </is>
      </c>
      <c r="M304" s="16" t="inlineStr">
        <is>
          <t>Not executed – requires IIFT environment</t>
        </is>
      </c>
      <c r="N304" s="16" t="inlineStr"/>
      <c r="O304" s="16" t="inlineStr"/>
      <c r="P304" s="16" t="inlineStr"/>
    </row>
    <row r="305">
      <c r="A305" s="15" t="inlineStr">
        <is>
          <t>CS-0304</t>
        </is>
      </c>
      <c r="B305" s="15" t="inlineStr">
        <is>
          <t>TS-56</t>
        </is>
      </c>
      <c r="C305" s="15" t="inlineStr">
        <is>
          <t>TC-163</t>
        </is>
      </c>
      <c r="D305" s="15" t="inlineStr">
        <is>
          <t>SEC</t>
        </is>
      </c>
      <c r="E305" s="16" t="inlineStr">
        <is>
          <t>Unknown and malformed fields are rejected</t>
        </is>
      </c>
      <c r="F305" s="16" t="inlineStr">
        <is>
          <t>ag-000001</t>
        </is>
      </c>
      <c r="G305" s="16" t="inlineStr">
        <is>
          <t>1. POST /api/v1/portal/participants with isAdmin=true and mobile 'abc'</t>
        </is>
      </c>
      <c r="H305" s="16" t="inlineStr">
        <is>
          <t>Unknown property and invalid mobile</t>
        </is>
      </c>
      <c r="I305" s="16" t="inlineStr">
        <is>
          <t>HTTP 400 listing isAdmin as not allowed and the invalid mobile</t>
        </is>
      </c>
      <c r="J305" s="15" t="inlineStr">
        <is>
          <t>API</t>
        </is>
      </c>
      <c r="K305" s="16" t="inlineStr">
        <is>
          <t>Executed – API run (tools/testing/api-test-run.mjs)</t>
        </is>
      </c>
      <c r="L305" s="17" t="inlineStr">
        <is>
          <t>Passed</t>
        </is>
      </c>
      <c r="M305" s="16" t="inlineStr">
        <is>
          <t>api-test-run.json EX-013: POST /api/v1/portal/participants (isAdmin, mobile=abc) → 400 BAD_REQUEST – Some fields are invalid [property isAdmin should not exist; dateOfBirth must be a valid ISO 8601 date string; mobile must match /^\+?[0-9]{7,15}$/ regular expression]</t>
        </is>
      </c>
      <c r="N305" s="16" t="inlineStr">
        <is>
          <t>2 Oct 2026 22:13 UTC</t>
        </is>
      </c>
      <c r="O305" s="16" t="inlineStr">
        <is>
          <t>iorta TechNXT QA (API run)</t>
        </is>
      </c>
      <c r="P305" s="16" t="inlineStr"/>
    </row>
    <row r="306">
      <c r="A306" s="15" t="inlineStr">
        <is>
          <t>CS-0305</t>
        </is>
      </c>
      <c r="B306" s="15" t="inlineStr">
        <is>
          <t>TS-56</t>
        </is>
      </c>
      <c r="C306" s="15" t="inlineStr">
        <is>
          <t>TC-163</t>
        </is>
      </c>
      <c r="D306" s="15" t="inlineStr">
        <is>
          <t>SEC</t>
        </is>
      </c>
      <c r="E306" s="16" t="inlineStr">
        <is>
          <t>Unknown and malformed fields rejected (suite)</t>
        </is>
      </c>
      <c r="F306" s="16" t="inlineStr">
        <is>
          <t>ag-000001..3, finance, ops.maker, manager, system</t>
        </is>
      </c>
      <c r="G306" s="16" t="inlineStr">
        <is>
          <t>1. Run `npm run test:e2e -w apps/api` (rebuilds the iift_test database from the migrations and seeds)
2. POST /portal/participants with isAdmin and mobile 'abc'</t>
        </is>
      </c>
      <c r="H306" s="16" t="inlineStr">
        <is>
          <t>ag-000001</t>
        </is>
      </c>
      <c r="I306" s="16" t="inlineStr">
        <is>
          <t>400 listing 'isAdmin should not exist' and mobile</t>
        </is>
      </c>
      <c r="J306" s="15" t="inlineStr">
        <is>
          <t>E2E</t>
        </is>
      </c>
      <c r="K306" s="16" t="inlineStr">
        <is>
          <t>Automated – apps/api/test/access-control.e2e-spec.ts › rejects unknown and malformed fields</t>
        </is>
      </c>
      <c r="L306" s="17" t="inlineStr">
        <is>
          <t>Passed</t>
        </is>
      </c>
      <c r="M306" s="16" t="inlineStr">
        <is>
          <t>api-e2e-tests.json: 'Access control and input handling (AP-59, BO-02, COM-02, NFR-10/14/15) rejects unknown and malformed fields' passed (2 Oct 2026 14:55 UTC); test-reruns.json: passed (2 Oct 2026 22:00 UTC)</t>
        </is>
      </c>
      <c r="N306" s="16" t="inlineStr">
        <is>
          <t>2 Oct 2026 22:00 UTC</t>
        </is>
      </c>
      <c r="O306" s="16" t="inlineStr">
        <is>
          <t>iorta QA (Vitest e2e, iift_test database)</t>
        </is>
      </c>
      <c r="P306" s="16" t="inlineStr"/>
    </row>
    <row r="307">
      <c r="A307" s="15" t="inlineStr">
        <is>
          <t>CS-0306</t>
        </is>
      </c>
      <c r="B307" s="15" t="inlineStr">
        <is>
          <t>TS-56</t>
        </is>
      </c>
      <c r="C307" s="15" t="inlineStr">
        <is>
          <t>TC-163</t>
        </is>
      </c>
      <c r="D307" s="15" t="inlineStr">
        <is>
          <t>SEC</t>
        </is>
      </c>
      <c r="E307" s="16" t="inlineStr">
        <is>
          <t>SEC-21 (OWASP A04): Unexpected fields (mass assignment) are rejected</t>
        </is>
      </c>
      <c r="F307" s="16" t="inlineStr">
        <is>
          <t>Security tester</t>
        </is>
      </c>
      <c r="G307" s="16" t="inlineStr">
        <is>
          <t>1. Run `node tools/security/security-checks.mjs` against a fresh non-production instance with demonstration data
2. Read the result of SEC-21</t>
        </is>
      </c>
      <c r="H307" s="16" t="inlineStr">
        <is>
          <t>Demonstration users and records; crafted payloads as described in the script</t>
        </is>
      </c>
      <c r="I307" s="16" t="inlineStr">
        <is>
          <t>400 listing the unexpected properties</t>
        </is>
      </c>
      <c r="J307" s="15" t="inlineStr">
        <is>
          <t>Security</t>
        </is>
      </c>
      <c r="K307" s="16" t="inlineStr">
        <is>
          <t>Automated – tools/security/security-checks.mjs</t>
        </is>
      </c>
      <c r="L307" s="17" t="inlineStr">
        <is>
          <t>Passed</t>
        </is>
      </c>
      <c r="M307" s="16" t="inlineStr">
        <is>
          <t>security-checks.json: SEC-21 PASS (2 Oct 2026 14:57 UTC); evidence summarised in the Security Assessment Report</t>
        </is>
      </c>
      <c r="N307" s="16" t="inlineStr">
        <is>
          <t>2 Oct 2026 14:57 UTC</t>
        </is>
      </c>
      <c r="O307" s="16" t="inlineStr">
        <is>
          <t>iorta QA (security-checks.mjs)</t>
        </is>
      </c>
      <c r="P307" s="16" t="inlineStr"/>
    </row>
    <row r="308">
      <c r="A308" s="15" t="inlineStr">
        <is>
          <t>CS-0307</t>
        </is>
      </c>
      <c r="B308" s="15" t="inlineStr">
        <is>
          <t>TS-56</t>
        </is>
      </c>
      <c r="C308" s="15" t="inlineStr">
        <is>
          <t>TC-164</t>
        </is>
      </c>
      <c r="D308" s="15" t="inlineStr">
        <is>
          <t>SEC</t>
        </is>
      </c>
      <c r="E308" s="16" t="inlineStr">
        <is>
          <t>Injection in search parameters treated as text (suite)</t>
        </is>
      </c>
      <c r="F308" s="16" t="inlineStr">
        <is>
          <t>ag-000001..3, finance, ops.maker, manager, system</t>
        </is>
      </c>
      <c r="G308" s="16" t="inlineStr">
        <is>
          <t>1. Run `npm run test:e2e -w apps/api` (rebuilds the iift_test database from the migrations and seeds)
2. GET /portal/policies?search=' OR 1=1; DROP TABLE policy; --</t>
        </is>
      </c>
      <c r="H308" s="16" t="inlineStr">
        <is>
          <t>ag-000001</t>
        </is>
      </c>
      <c r="I308" s="16" t="inlineStr">
        <is>
          <t>200 with no items; policy table intact</t>
        </is>
      </c>
      <c r="J308" s="15" t="inlineStr">
        <is>
          <t>E2E</t>
        </is>
      </c>
      <c r="K308" s="16" t="inlineStr">
        <is>
          <t>Automated – apps/api/test/access-control.e2e-spec.ts › treats injection attempts in search parameters as plain text</t>
        </is>
      </c>
      <c r="L308" s="17" t="inlineStr">
        <is>
          <t>Passed</t>
        </is>
      </c>
      <c r="M308" s="16" t="inlineStr">
        <is>
          <t>api-e2e-tests.json: 'Access control and input handling (AP-59, BO-02, COM-02, NFR-10/14/15) treats injection attempts in search parameters as plain text' passed (2 Oct 2026 14:55 UTC); test-reruns.json: passed (2 Oct 2026 22:00 UTC)</t>
        </is>
      </c>
      <c r="N308" s="16" t="inlineStr">
        <is>
          <t>2 Oct 2026 22:00 UTC</t>
        </is>
      </c>
      <c r="O308" s="16" t="inlineStr">
        <is>
          <t>iorta QA (Vitest e2e, iift_test database)</t>
        </is>
      </c>
      <c r="P308" s="16" t="inlineStr"/>
    </row>
    <row r="309">
      <c r="A309" s="15" t="inlineStr">
        <is>
          <t>CS-0308</t>
        </is>
      </c>
      <c r="B309" s="15" t="inlineStr">
        <is>
          <t>TS-56</t>
        </is>
      </c>
      <c r="C309" s="15" t="inlineStr">
        <is>
          <t>TC-164</t>
        </is>
      </c>
      <c r="D309" s="15" t="inlineStr">
        <is>
          <t>SEC</t>
        </is>
      </c>
      <c r="E309" s="16" t="inlineStr">
        <is>
          <t>SEC-17 (OWASP A03): SQL/NoSQL/template injection payloads in search are treated as text</t>
        </is>
      </c>
      <c r="F309" s="16" t="inlineStr">
        <is>
          <t>Security tester</t>
        </is>
      </c>
      <c r="G309" s="16" t="inlineStr">
        <is>
          <t>1. Run `node tools/security/security-checks.mjs` against a fresh non-production instance with demonstration data
2. Read the result of SEC-17</t>
        </is>
      </c>
      <c r="H309" s="16" t="inlineStr">
        <is>
          <t>Demonstration users and records; crafted payloads as described in the script</t>
        </is>
      </c>
      <c r="I309" s="16" t="inlineStr">
        <is>
          <t>Payloads treated as text: no extra records, no errors, no delay</t>
        </is>
      </c>
      <c r="J309" s="15" t="inlineStr">
        <is>
          <t>Security</t>
        </is>
      </c>
      <c r="K309" s="16" t="inlineStr">
        <is>
          <t>Automated – tools/security/security-checks.mjs</t>
        </is>
      </c>
      <c r="L309" s="17" t="inlineStr">
        <is>
          <t>Passed</t>
        </is>
      </c>
      <c r="M309" s="16" t="inlineStr">
        <is>
          <t>security-checks.json: SEC-17 PASS (2 Oct 2026 14:57 UTC); evidence summarised in the Security Assessment Report</t>
        </is>
      </c>
      <c r="N309" s="16" t="inlineStr">
        <is>
          <t>2 Oct 2026 14:57 UTC</t>
        </is>
      </c>
      <c r="O309" s="16" t="inlineStr">
        <is>
          <t>iorta QA (security-checks.mjs)</t>
        </is>
      </c>
      <c r="P309" s="16" t="inlineStr"/>
    </row>
    <row r="310">
      <c r="A310" s="15" t="inlineStr">
        <is>
          <t>CS-0309</t>
        </is>
      </c>
      <c r="B310" s="15" t="inlineStr">
        <is>
          <t>TS-56</t>
        </is>
      </c>
      <c r="C310" s="15" t="inlineStr">
        <is>
          <t>TC-165</t>
        </is>
      </c>
      <c r="D310" s="15" t="inlineStr">
        <is>
          <t>SEC</t>
        </is>
      </c>
      <c r="E310" s="16" t="inlineStr">
        <is>
          <t>Unknown routes and malformed JSON return generic errors with a correlation id</t>
        </is>
      </c>
      <c r="F310" s="16" t="inlineStr">
        <is>
          <t>anonymous</t>
        </is>
      </c>
      <c r="G310" s="16" t="inlineStr">
        <is>
          <t>1. GET /api/v1/nothing-here
2. POST /api/v1/auth/login with broken JSON</t>
        </is>
      </c>
      <c r="H310" s="16" t="inlineStr">
        <is>
          <t>Anonymous</t>
        </is>
      </c>
      <c r="I310" s="16" t="inlineStr">
        <is>
          <t>GET /api/v1/nothing → 404 JSON with code and no framework detail; malformed JSON → 400 without a stack trace; X-Request-Id on every response</t>
        </is>
      </c>
      <c r="J310" s="15" t="inlineStr">
        <is>
          <t>API</t>
        </is>
      </c>
      <c r="K310" s="16" t="inlineStr">
        <is>
          <t>Executed – API run (tools/testing/api-test-run.mjs)</t>
        </is>
      </c>
      <c r="L310" s="17" t="inlineStr">
        <is>
          <t>Passed</t>
        </is>
      </c>
      <c r="M310" s="16" t="inlineStr">
        <is>
          <t>api-test-run.json EX-130: GET /api/v1/nothing-here; POST /api/v1/auth/login with broken JSON → 404 NOT_FOUND – Cannot GET /api/v1/nothing-here req-id=yes | 400 BAD_REQUEST – Unexpected end of JSON input</t>
        </is>
      </c>
      <c r="N310" s="16" t="inlineStr">
        <is>
          <t>2 Oct 2026 22:14 UTC</t>
        </is>
      </c>
      <c r="O310" s="16" t="inlineStr">
        <is>
          <t>iorta TechNXT QA (API run)</t>
        </is>
      </c>
      <c r="P310" s="16" t="inlineStr"/>
    </row>
    <row r="311">
      <c r="A311" s="15" t="inlineStr">
        <is>
          <t>CS-0310</t>
        </is>
      </c>
      <c r="B311" s="15" t="inlineStr">
        <is>
          <t>TS-56</t>
        </is>
      </c>
      <c r="C311" s="15" t="inlineStr">
        <is>
          <t>TC-165</t>
        </is>
      </c>
      <c r="D311" s="15" t="inlineStr">
        <is>
          <t>SEC</t>
        </is>
      </c>
      <c r="E311" s="16" t="inlineStr">
        <is>
          <t>No internal error details; correlation id (suite)</t>
        </is>
      </c>
      <c r="F311" s="16" t="inlineStr">
        <is>
          <t>ag-000001..3, finance, ops.maker, manager, system</t>
        </is>
      </c>
      <c r="G311" s="16" t="inlineStr">
        <is>
          <t>1. Run `npm run test:e2e -w apps/api` (rebuilds the iift_test database from the migrations and seeds)
2. GET /portal/policies/not-a-uuid without session</t>
        </is>
      </c>
      <c r="H311" s="16" t="inlineStr">
        <is>
          <t>None</t>
        </is>
      </c>
      <c r="I311" s="16" t="inlineStr">
        <is>
          <t>401; X-Request-Id present; no stack/prisma text</t>
        </is>
      </c>
      <c r="J311" s="15" t="inlineStr">
        <is>
          <t>E2E</t>
        </is>
      </c>
      <c r="K311" s="16" t="inlineStr">
        <is>
          <t>Automated – apps/api/test/access-control.e2e-spec.ts › never exposes internal error details and returns a correlation id</t>
        </is>
      </c>
      <c r="L311" s="17" t="inlineStr">
        <is>
          <t>Passed</t>
        </is>
      </c>
      <c r="M311" s="16" t="inlineStr">
        <is>
          <t>api-e2e-tests.json: 'Access control and input handling (AP-59, BO-02, COM-02, NFR-10/14/15) never exposes internal error details and returns a correlation id' passed (2 Oct 2026 14:55 UTC); test-reruns.json: passed (2 Oct 2026 22:00 UTC)</t>
        </is>
      </c>
      <c r="N311" s="16" t="inlineStr">
        <is>
          <t>2 Oct 2026 22:00 UTC</t>
        </is>
      </c>
      <c r="O311" s="16" t="inlineStr">
        <is>
          <t>iorta QA (Vitest e2e, iift_test database)</t>
        </is>
      </c>
      <c r="P311" s="16" t="inlineStr"/>
    </row>
    <row r="312">
      <c r="A312" s="15" t="inlineStr">
        <is>
          <t>CS-0311</t>
        </is>
      </c>
      <c r="B312" s="15" t="inlineStr">
        <is>
          <t>TS-56</t>
        </is>
      </c>
      <c r="C312" s="15" t="inlineStr">
        <is>
          <t>TC-165</t>
        </is>
      </c>
      <c r="D312" s="15" t="inlineStr">
        <is>
          <t>SEC</t>
        </is>
      </c>
      <c r="E312" s="16" t="inlineStr">
        <is>
          <t>Security headers; framework hidden (suite)</t>
        </is>
      </c>
      <c r="F312" s="16" t="inlineStr">
        <is>
          <t>ag-000001..3, finance, ops.maker, manager, system</t>
        </is>
      </c>
      <c r="G312" s="16" t="inlineStr">
        <is>
          <t>1. Run `npm run test:e2e -w apps/api` (rebuilds the iift_test database from the migrations and seeds)
2. GET /health/live</t>
        </is>
      </c>
      <c r="H312" s="16" t="inlineStr">
        <is>
          <t>None</t>
        </is>
      </c>
      <c r="I312" s="16" t="inlineStr">
        <is>
          <t>No X-Powered-By; nosniff, HSTS, CSP present</t>
        </is>
      </c>
      <c r="J312" s="15" t="inlineStr">
        <is>
          <t>E2E</t>
        </is>
      </c>
      <c r="K312" s="16" t="inlineStr">
        <is>
          <t>Automated – apps/api/test/access-control.e2e-spec.ts › sends security headers and hides the framework</t>
        </is>
      </c>
      <c r="L312" s="17" t="inlineStr">
        <is>
          <t>Passed</t>
        </is>
      </c>
      <c r="M312" s="16" t="inlineStr">
        <is>
          <t>api-e2e-tests.json: 'Access control and input handling (AP-59, BO-02, COM-02, NFR-10/14/15) sends security headers and hides the framework' passed (2 Oct 2026 14:55 UTC); test-reruns.json: passed (2 Oct 2026 22:00 UTC)</t>
        </is>
      </c>
      <c r="N312" s="16" t="inlineStr">
        <is>
          <t>2 Oct 2026 22:00 UTC</t>
        </is>
      </c>
      <c r="O312" s="16" t="inlineStr">
        <is>
          <t>iorta QA (Vitest e2e, iift_test database)</t>
        </is>
      </c>
      <c r="P312" s="16" t="inlineStr"/>
    </row>
    <row r="313">
      <c r="A313" s="15" t="inlineStr">
        <is>
          <t>CS-0312</t>
        </is>
      </c>
      <c r="B313" s="15" t="inlineStr">
        <is>
          <t>TS-56</t>
        </is>
      </c>
      <c r="C313" s="15" t="inlineStr">
        <is>
          <t>TC-165</t>
        </is>
      </c>
      <c r="D313" s="15" t="inlineStr">
        <is>
          <t>SEC</t>
        </is>
      </c>
      <c r="E313" s="16" t="inlineStr">
        <is>
          <t>SEC-01 (OWASP A05): Security headers on API responses</t>
        </is>
      </c>
      <c r="F313" s="16" t="inlineStr">
        <is>
          <t>Security tester</t>
        </is>
      </c>
      <c r="G313" s="16" t="inlineStr">
        <is>
          <t>1. Run `node tools/security/security-checks.mjs` against a fresh non-production instance with demonstration data
2. Read the result of SEC-01</t>
        </is>
      </c>
      <c r="H313" s="16" t="inlineStr">
        <is>
          <t>Demonstration users and records; crafted payloads as described in the script</t>
        </is>
      </c>
      <c r="I313" s="16" t="inlineStr">
        <is>
          <t>HSTS, nosniff, frame and content-security headers present; X-Powered-By absent</t>
        </is>
      </c>
      <c r="J313" s="15" t="inlineStr">
        <is>
          <t>Security</t>
        </is>
      </c>
      <c r="K313" s="16" t="inlineStr">
        <is>
          <t>Automated – tools/security/security-checks.mjs</t>
        </is>
      </c>
      <c r="L313" s="17" t="inlineStr">
        <is>
          <t>Passed</t>
        </is>
      </c>
      <c r="M313" s="16" t="inlineStr">
        <is>
          <t>security-checks.json: SEC-01 PASS (2 Oct 2026 14:57 UTC); evidence summarised in the Security Assessment Report</t>
        </is>
      </c>
      <c r="N313" s="16" t="inlineStr">
        <is>
          <t>2 Oct 2026 14:57 UTC</t>
        </is>
      </c>
      <c r="O313" s="16" t="inlineStr">
        <is>
          <t>iorta QA (security-checks.mjs)</t>
        </is>
      </c>
      <c r="P313" s="16" t="inlineStr"/>
    </row>
    <row r="314">
      <c r="A314" s="15" t="inlineStr">
        <is>
          <t>CS-0313</t>
        </is>
      </c>
      <c r="B314" s="15" t="inlineStr">
        <is>
          <t>TS-56</t>
        </is>
      </c>
      <c r="C314" s="15" t="inlineStr">
        <is>
          <t>TC-165</t>
        </is>
      </c>
      <c r="D314" s="15" t="inlineStr">
        <is>
          <t>SEC</t>
        </is>
      </c>
      <c r="E314" s="16" t="inlineStr">
        <is>
          <t>SEC-03 (OWASP A05): Malformed JSON is rejected without a stack trace</t>
        </is>
      </c>
      <c r="F314" s="16" t="inlineStr">
        <is>
          <t>Security tester</t>
        </is>
      </c>
      <c r="G314" s="16" t="inlineStr">
        <is>
          <t>1. Run `node tools/security/security-checks.mjs` against a fresh non-production instance with demonstration data
2. Read the result of SEC-03</t>
        </is>
      </c>
      <c r="H314" s="16" t="inlineStr">
        <is>
          <t>Demonstration users and records; crafted payloads as described in the script</t>
        </is>
      </c>
      <c r="I314" s="16" t="inlineStr">
        <is>
          <t>400 without stack trace</t>
        </is>
      </c>
      <c r="J314" s="15" t="inlineStr">
        <is>
          <t>Security</t>
        </is>
      </c>
      <c r="K314" s="16" t="inlineStr">
        <is>
          <t>Automated – tools/security/security-checks.mjs</t>
        </is>
      </c>
      <c r="L314" s="17" t="inlineStr">
        <is>
          <t>Passed</t>
        </is>
      </c>
      <c r="M314" s="16" t="inlineStr">
        <is>
          <t>security-checks.json: SEC-03 PASS (2 Oct 2026 14:57 UTC); evidence summarised in the Security Assessment Report</t>
        </is>
      </c>
      <c r="N314" s="16" t="inlineStr">
        <is>
          <t>2 Oct 2026 14:57 UTC</t>
        </is>
      </c>
      <c r="O314" s="16" t="inlineStr">
        <is>
          <t>iorta QA (security-checks.mjs)</t>
        </is>
      </c>
      <c r="P314" s="16" t="inlineStr"/>
    </row>
    <row r="315">
      <c r="A315" s="15" t="inlineStr">
        <is>
          <t>CS-0314</t>
        </is>
      </c>
      <c r="B315" s="15" t="inlineStr">
        <is>
          <t>TS-56</t>
        </is>
      </c>
      <c r="C315" s="15" t="inlineStr">
        <is>
          <t>TC-165</t>
        </is>
      </c>
      <c r="D315" s="15" t="inlineStr">
        <is>
          <t>SEC</t>
        </is>
      </c>
      <c r="E315" s="16" t="inlineStr">
        <is>
          <t>SEC-28 (OWASP A09): Every response carries a correlation id for tracing</t>
        </is>
      </c>
      <c r="F315" s="16" t="inlineStr">
        <is>
          <t>Security tester</t>
        </is>
      </c>
      <c r="G315" s="16" t="inlineStr">
        <is>
          <t>1. Run `node tools/security/security-checks.mjs` against a fresh non-production instance with demonstration data
2. Read the result of SEC-28</t>
        </is>
      </c>
      <c r="H315" s="16" t="inlineStr">
        <is>
          <t>Demonstration users and records; crafted payloads as described in the script</t>
        </is>
      </c>
      <c r="I315" s="16" t="inlineStr">
        <is>
          <t>X-Request-Id on every response</t>
        </is>
      </c>
      <c r="J315" s="15" t="inlineStr">
        <is>
          <t>Security</t>
        </is>
      </c>
      <c r="K315" s="16" t="inlineStr">
        <is>
          <t>Automated – tools/security/security-checks.mjs</t>
        </is>
      </c>
      <c r="L315" s="17" t="inlineStr">
        <is>
          <t>Passed</t>
        </is>
      </c>
      <c r="M315" s="16" t="inlineStr">
        <is>
          <t>security-checks.json: SEC-28 PASS (2 Oct 2026 14:57 UTC); evidence summarised in the Security Assessment Report</t>
        </is>
      </c>
      <c r="N315" s="16" t="inlineStr">
        <is>
          <t>2 Oct 2026 14:57 UTC</t>
        </is>
      </c>
      <c r="O315" s="16" t="inlineStr">
        <is>
          <t>iorta QA (security-checks.mjs)</t>
        </is>
      </c>
      <c r="P315" s="16" t="inlineStr"/>
    </row>
    <row r="316">
      <c r="A316" s="15" t="inlineStr">
        <is>
          <t>CS-0315</t>
        </is>
      </c>
      <c r="B316" s="15" t="inlineStr">
        <is>
          <t>TS-56</t>
        </is>
      </c>
      <c r="C316" s="15" t="inlineStr">
        <is>
          <t>TC-166</t>
        </is>
      </c>
      <c r="D316" s="15" t="inlineStr">
        <is>
          <t>SEC</t>
        </is>
      </c>
      <c r="E316" s="16" t="inlineStr">
        <is>
          <t>SEC-02 (OWASP A05): Unknown routes return a generic JSON error without framework details</t>
        </is>
      </c>
      <c r="F316" s="16" t="inlineStr">
        <is>
          <t>Security tester</t>
        </is>
      </c>
      <c r="G316" s="16" t="inlineStr">
        <is>
          <t>1. Run `node tools/security/security-checks.mjs` against a fresh non-production instance with demonstration data
2. Read the result of SEC-02</t>
        </is>
      </c>
      <c r="H316" s="16" t="inlineStr">
        <is>
          <t>Demonstration users and records; crafted payloads as described in the script</t>
        </is>
      </c>
      <c r="I316" s="16" t="inlineStr">
        <is>
          <t>404 with code and correlation id only; no framework detail</t>
        </is>
      </c>
      <c r="J316" s="15" t="inlineStr">
        <is>
          <t>Security</t>
        </is>
      </c>
      <c r="K316" s="16" t="inlineStr">
        <is>
          <t>Automated – tools/security/security-checks.mjs</t>
        </is>
      </c>
      <c r="L316" s="17" t="inlineStr">
        <is>
          <t>Passed</t>
        </is>
      </c>
      <c r="M316" s="16" t="inlineStr">
        <is>
          <t>security-checks.json: SEC-02 PASS (2 Oct 2026 14:57 UTC); evidence summarised in the Security Assessment Report</t>
        </is>
      </c>
      <c r="N316" s="16" t="inlineStr">
        <is>
          <t>2 Oct 2026 14:57 UTC</t>
        </is>
      </c>
      <c r="O316" s="16" t="inlineStr">
        <is>
          <t>iorta QA (security-checks.mjs)</t>
        </is>
      </c>
      <c r="P316" s="16" t="inlineStr"/>
    </row>
    <row r="317">
      <c r="A317" s="15" t="inlineStr">
        <is>
          <t>CS-0316</t>
        </is>
      </c>
      <c r="B317" s="15" t="inlineStr">
        <is>
          <t>TS-56</t>
        </is>
      </c>
      <c r="C317" s="15" t="inlineStr">
        <is>
          <t>TC-166</t>
        </is>
      </c>
      <c r="D317" s="15" t="inlineStr">
        <is>
          <t>SEC</t>
        </is>
      </c>
      <c r="E317" s="16" t="inlineStr">
        <is>
          <t>SEC-29 (OWASP A01): E-signature links cannot be guessed; invalid tokens reveal nothing</t>
        </is>
      </c>
      <c r="F317" s="16" t="inlineStr">
        <is>
          <t>Security tester</t>
        </is>
      </c>
      <c r="G317" s="16" t="inlineStr">
        <is>
          <t>1. Run `node tools/security/security-checks.mjs` against a fresh non-production instance with demonstration data
2. Read the result of SEC-29</t>
        </is>
      </c>
      <c r="H317" s="16" t="inlineStr">
        <is>
          <t>Demonstration users and records; crafted payloads as described in the script</t>
        </is>
      </c>
      <c r="I317" s="16" t="inlineStr">
        <is>
          <t>Malformed and unknown tokens reveal nothing</t>
        </is>
      </c>
      <c r="J317" s="15" t="inlineStr">
        <is>
          <t>Security</t>
        </is>
      </c>
      <c r="K317" s="16" t="inlineStr">
        <is>
          <t>Automated – tools/security/security-checks.mjs</t>
        </is>
      </c>
      <c r="L317" s="17" t="inlineStr">
        <is>
          <t>Passed</t>
        </is>
      </c>
      <c r="M317" s="16" t="inlineStr">
        <is>
          <t>security-checks.json: SEC-29 PASS (2 Oct 2026 14:57 UTC); evidence summarised in the Security Assessment Report</t>
        </is>
      </c>
      <c r="N317" s="16" t="inlineStr">
        <is>
          <t>2 Oct 2026 14:57 UTC</t>
        </is>
      </c>
      <c r="O317" s="16" t="inlineStr">
        <is>
          <t>iorta QA (security-checks.mjs)</t>
        </is>
      </c>
      <c r="P317" s="16" t="inlineStr"/>
    </row>
    <row r="318">
      <c r="A318" s="15" t="inlineStr">
        <is>
          <t>CS-0317</t>
        </is>
      </c>
      <c r="B318" s="15" t="inlineStr">
        <is>
          <t>TS-57</t>
        </is>
      </c>
      <c r="C318" s="15" t="inlineStr">
        <is>
          <t>TC-167</t>
        </is>
      </c>
      <c r="D318" s="15" t="inlineStr">
        <is>
          <t>SEC</t>
        </is>
      </c>
      <c r="E318" s="16" t="inlineStr">
        <is>
          <t>CI security gates</t>
        </is>
      </c>
      <c r="F318" s="16" t="inlineStr">
        <is>
          <t>DevOps</t>
        </is>
      </c>
      <c r="G318" s="16" t="inlineStr">
        <is>
          <t>1. Push a change
2. Inspect CodeQL, gitleaks, npm audit, Trivy and SBOM jobs</t>
        </is>
      </c>
      <c r="H318" s="16" t="inlineStr">
        <is>
          <t>GitHub Actions</t>
        </is>
      </c>
      <c r="I318" s="16" t="inlineStr">
        <is>
          <t>All gates green; SBOM artifact</t>
        </is>
      </c>
      <c r="J318" s="15" t="inlineStr">
        <is>
          <t>Security</t>
        </is>
      </c>
      <c r="K318" s="16" t="inlineStr">
        <is>
          <t>Not automated</t>
        </is>
      </c>
      <c r="L318" s="18" t="inlineStr">
        <is>
          <t>Not executed</t>
        </is>
      </c>
      <c r="M318" s="16" t="inlineStr">
        <is>
          <t>Not executed in this run – pipeline runs on IIFT's or iorta's CI service; configuration reviewed in the Security Assessment Report</t>
        </is>
      </c>
      <c r="N318" s="16" t="inlineStr"/>
      <c r="O318" s="16" t="inlineStr"/>
      <c r="P318" s="16" t="inlineStr"/>
    </row>
    <row r="319">
      <c r="A319" s="15" t="inlineStr">
        <is>
          <t>CS-0318</t>
        </is>
      </c>
      <c r="B319" s="15" t="inlineStr">
        <is>
          <t>TS-57</t>
        </is>
      </c>
      <c r="C319" s="15" t="inlineStr">
        <is>
          <t>TC-168</t>
        </is>
      </c>
      <c r="D319" s="15" t="inlineStr">
        <is>
          <t>SEC</t>
        </is>
      </c>
      <c r="E319" s="16" t="inlineStr">
        <is>
          <t>OWASP check script before release</t>
        </is>
      </c>
      <c r="F319" s="16" t="inlineStr">
        <is>
          <t>QA</t>
        </is>
      </c>
      <c r="G319" s="16" t="inlineStr">
        <is>
          <t>1. Run tools/security/security-checks.mjs against a fresh test instance</t>
        </is>
      </c>
      <c r="H319" s="16" t="inlineStr">
        <is>
          <t>29 checks</t>
        </is>
      </c>
      <c r="I319" s="16" t="inlineStr">
        <is>
          <t>29/29 PASS</t>
        </is>
      </c>
      <c r="J319" s="15" t="inlineStr">
        <is>
          <t>Security</t>
        </is>
      </c>
      <c r="K319" s="16" t="inlineStr">
        <is>
          <t>Not automated</t>
        </is>
      </c>
      <c r="L319" s="18" t="inlineStr">
        <is>
          <t>Not executed</t>
        </is>
      </c>
      <c r="M319" s="16" t="inlineStr">
        <is>
          <t>Executed on 2 October 2026 14:57 UTC (evidence security-checks.json); not repeated in this run</t>
        </is>
      </c>
      <c r="N319" s="16" t="inlineStr"/>
      <c r="O319" s="16" t="inlineStr"/>
      <c r="P319" s="16" t="inlineStr"/>
    </row>
    <row r="320">
      <c r="A320" s="15" t="inlineStr">
        <is>
          <t>CS-0319</t>
        </is>
      </c>
      <c r="B320" s="15" t="inlineStr">
        <is>
          <t>TS-57</t>
        </is>
      </c>
      <c r="C320" s="15" t="inlineStr">
        <is>
          <t>TC-169</t>
        </is>
      </c>
      <c r="D320" s="15" t="inlineStr">
        <is>
          <t>SEC</t>
        </is>
      </c>
      <c r="E320" s="16" t="inlineStr">
        <is>
          <t>Independent VAPT and re-test</t>
        </is>
      </c>
      <c r="F320" s="16" t="inlineStr">
        <is>
          <t>Independent tester</t>
        </is>
      </c>
      <c r="G320" s="16" t="inlineStr">
        <is>
          <t>1. Grey-box test per role; unauthenticated external test
2. Remediate; re-test</t>
        </is>
      </c>
      <c r="H320" s="16" t="inlineStr">
        <is>
          <t>IIFT UAT environment</t>
        </is>
      </c>
      <c r="I320" s="16" t="inlineStr">
        <is>
          <t>No open Critical/High findings (DEL-17)</t>
        </is>
      </c>
      <c r="J320" s="15" t="inlineStr">
        <is>
          <t>Security</t>
        </is>
      </c>
      <c r="K320" s="16" t="inlineStr">
        <is>
          <t>Not automated</t>
        </is>
      </c>
      <c r="L320" s="18" t="inlineStr">
        <is>
          <t>Not executed</t>
        </is>
      </c>
      <c r="M320" s="16" t="inlineStr">
        <is>
          <t>Not executed – requires IIFT environment; weeks 17–19</t>
        </is>
      </c>
      <c r="N320" s="16" t="inlineStr"/>
      <c r="O320" s="16" t="inlineStr"/>
      <c r="P320" s="16" t="inlineStr"/>
    </row>
    <row r="321">
      <c r="A321" s="15" t="inlineStr">
        <is>
          <t>CS-0320</t>
        </is>
      </c>
      <c r="B321" s="15" t="inlineStr">
        <is>
          <t>TS-58</t>
        </is>
      </c>
      <c r="C321" s="15" t="inlineStr">
        <is>
          <t>TC-170</t>
        </is>
      </c>
      <c r="D321" s="15" t="inlineStr">
        <is>
          <t>SEC</t>
        </is>
      </c>
      <c r="E321" s="16" t="inlineStr">
        <is>
          <t>Back-office MFA</t>
        </is>
      </c>
      <c r="F321" s="16" t="inlineStr">
        <is>
          <t>Back-office staff</t>
        </is>
      </c>
      <c r="G321" s="16" t="inlineStr">
        <is>
          <t>1. Enable MFA
2. Sign in with password and OTP</t>
        </is>
      </c>
      <c r="H321" s="16" t="inlineStr">
        <is>
          <t>E-mail OTP / TOTP</t>
        </is>
      </c>
      <c r="I321" s="16" t="inlineStr">
        <is>
          <t>Second factor required</t>
        </is>
      </c>
      <c r="J321" s="15" t="inlineStr">
        <is>
          <t>SIT</t>
        </is>
      </c>
      <c r="K321" s="16" t="inlineStr">
        <is>
          <t>Not automated</t>
        </is>
      </c>
      <c r="L321" s="18" t="inlineStr">
        <is>
          <t>Not executed</t>
        </is>
      </c>
      <c r="M321" s="16" t="inlineStr">
        <is>
          <t>Not executed – MFA not yet built (planned for implementation sprint 1)</t>
        </is>
      </c>
      <c r="N321" s="16" t="inlineStr"/>
      <c r="O321" s="16" t="inlineStr"/>
      <c r="P321" s="16" t="inlineStr"/>
    </row>
    <row r="322">
      <c r="A322" s="15" t="inlineStr">
        <is>
          <t>CS-0321</t>
        </is>
      </c>
      <c r="B322" s="15" t="inlineStr">
        <is>
          <t>TS-59</t>
        </is>
      </c>
      <c r="C322" s="15" t="inlineStr">
        <is>
          <t>TC-171</t>
        </is>
      </c>
      <c r="D322" s="15" t="inlineStr">
        <is>
          <t>NFR</t>
        </is>
      </c>
      <c r="E322" s="16" t="inlineStr">
        <is>
          <t>Load test: p95 response time at 100 concurrent users</t>
        </is>
      </c>
      <c r="F322" s="16" t="inlineStr">
        <is>
          <t>Performance tester</t>
        </is>
      </c>
      <c r="G322" s="16" t="inlineStr">
        <is>
          <t>1. Run the k6 scenario mix (sign-in, quotation, policy list, payment, reports)
2. Ramp to 100 virtual users for 30 minutes</t>
        </is>
      </c>
      <c r="H322" s="16" t="inlineStr">
        <is>
          <t>Production-like SIT at IIFT</t>
        </is>
      </c>
      <c r="I322" s="16" t="inlineStr">
        <is>
          <t>p95 &lt; 2 s; error rate &lt; 0.1%</t>
        </is>
      </c>
      <c r="J322" s="15" t="inlineStr">
        <is>
          <t>Perf</t>
        </is>
      </c>
      <c r="K322" s="16" t="inlineStr">
        <is>
          <t>Not automated</t>
        </is>
      </c>
      <c r="L322" s="18" t="inlineStr">
        <is>
          <t>Not executed</t>
        </is>
      </c>
      <c r="M322" s="16" t="inlineStr">
        <is>
          <t>Not executed – requires IIFT environment (performance at IIFT scale, weeks 17–18)</t>
        </is>
      </c>
      <c r="N322" s="16" t="inlineStr"/>
      <c r="O322" s="16" t="inlineStr"/>
      <c r="P322" s="16" t="inlineStr"/>
    </row>
    <row r="323">
      <c r="A323" s="15" t="inlineStr">
        <is>
          <t>CS-0322</t>
        </is>
      </c>
      <c r="B323" s="15" t="inlineStr">
        <is>
          <t>TS-59</t>
        </is>
      </c>
      <c r="C323" s="15" t="inlineStr">
        <is>
          <t>TC-172</t>
        </is>
      </c>
      <c r="D323" s="15" t="inlineStr">
        <is>
          <t>NFR</t>
        </is>
      </c>
      <c r="E323" s="16" t="inlineStr">
        <is>
          <t>Volume and growth test</t>
        </is>
      </c>
      <c r="F323" s="16" t="inlineStr">
        <is>
          <t>Performance tester</t>
        </is>
      </c>
      <c r="G323" s="16" t="inlineStr">
        <is>
          <t>1. Load five years of projected policies and documents
2. Repeat the k6 mix</t>
        </is>
      </c>
      <c r="H323" s="16" t="inlineStr">
        <is>
          <t>Appendix 2 volumes</t>
        </is>
      </c>
      <c r="I323" s="16" t="inlineStr">
        <is>
          <t>No degradation beyond 20% against the baseline</t>
        </is>
      </c>
      <c r="J323" s="15" t="inlineStr">
        <is>
          <t>Perf</t>
        </is>
      </c>
      <c r="K323" s="16" t="inlineStr">
        <is>
          <t>Not automated</t>
        </is>
      </c>
      <c r="L323" s="18" t="inlineStr">
        <is>
          <t>Not executed</t>
        </is>
      </c>
      <c r="M323" s="16" t="inlineStr">
        <is>
          <t>Not executed – requires IIFT environment</t>
        </is>
      </c>
      <c r="N323" s="16" t="inlineStr"/>
      <c r="O323" s="16" t="inlineStr"/>
      <c r="P323" s="16" t="inlineStr"/>
    </row>
    <row r="324">
      <c r="A324" s="15" t="inlineStr">
        <is>
          <t>CS-0323</t>
        </is>
      </c>
      <c r="B324" s="15" t="inlineStr">
        <is>
          <t>TS-59</t>
        </is>
      </c>
      <c r="C324" s="15" t="inlineStr">
        <is>
          <t>TC-173</t>
        </is>
      </c>
      <c r="D324" s="15" t="inlineStr">
        <is>
          <t>NFR</t>
        </is>
      </c>
      <c r="E324" s="16" t="inlineStr">
        <is>
          <t>Soak test (8 hours)</t>
        </is>
      </c>
      <c r="F324" s="16" t="inlineStr">
        <is>
          <t>Performance tester</t>
        </is>
      </c>
      <c r="G324" s="16" t="inlineStr">
        <is>
          <t>1. Run 50 virtual users for 8 hours
2. Monitor memory and error rate</t>
        </is>
      </c>
      <c r="H324" s="16" t="inlineStr">
        <is>
          <t>Production-like SIT</t>
        </is>
      </c>
      <c r="I324" s="16" t="inlineStr">
        <is>
          <t>Stable memory; no error growth</t>
        </is>
      </c>
      <c r="J324" s="15" t="inlineStr">
        <is>
          <t>Perf</t>
        </is>
      </c>
      <c r="K324" s="16" t="inlineStr">
        <is>
          <t>Not automated</t>
        </is>
      </c>
      <c r="L324" s="18" t="inlineStr">
        <is>
          <t>Not executed</t>
        </is>
      </c>
      <c r="M324" s="16" t="inlineStr">
        <is>
          <t>Not executed – requires IIFT environment</t>
        </is>
      </c>
      <c r="N324" s="16" t="inlineStr"/>
      <c r="O324" s="16" t="inlineStr"/>
      <c r="P324" s="16" t="inlineStr"/>
    </row>
    <row r="325">
      <c r="A325" s="15" t="inlineStr">
        <is>
          <t>CS-0324</t>
        </is>
      </c>
      <c r="B325" s="15" t="inlineStr">
        <is>
          <t>TS-60</t>
        </is>
      </c>
      <c r="C325" s="15" t="inlineStr">
        <is>
          <t>TC-174</t>
        </is>
      </c>
      <c r="D325" s="15" t="inlineStr">
        <is>
          <t>NFR</t>
        </is>
      </c>
      <c r="E325" s="16" t="inlineStr">
        <is>
          <t>Monitoring and alert rules</t>
        </is>
      </c>
      <c r="F325" s="16" t="inlineStr">
        <is>
          <t>IITH IT</t>
        </is>
      </c>
      <c r="G325" s="16" t="inlineStr">
        <is>
          <t>1. Stop one API instance
2. Force an EOD failure
3. Create a dead letter</t>
        </is>
      </c>
      <c r="H325" s="16" t="inlineStr">
        <is>
          <t>Grafana/Prometheus or IITH SIEM</t>
        </is>
      </c>
      <c r="I325" s="16" t="inlineStr">
        <is>
          <t>Alerts raised to the agreed contacts</t>
        </is>
      </c>
      <c r="J325" s="15" t="inlineStr">
        <is>
          <t>SIT</t>
        </is>
      </c>
      <c r="K325" s="16" t="inlineStr">
        <is>
          <t>Not automated</t>
        </is>
      </c>
      <c r="L325" s="18" t="inlineStr">
        <is>
          <t>Not executed</t>
        </is>
      </c>
      <c r="M325" s="16" t="inlineStr">
        <is>
          <t>Not executed – requires IIFT environment (monitoring stack)</t>
        </is>
      </c>
      <c r="N325" s="16" t="inlineStr"/>
      <c r="O325" s="16" t="inlineStr"/>
      <c r="P325" s="16" t="inlineStr"/>
    </row>
    <row r="326">
      <c r="A326" s="15" t="inlineStr">
        <is>
          <t>CS-0325</t>
        </is>
      </c>
      <c r="B326" s="15" t="inlineStr">
        <is>
          <t>TS-60</t>
        </is>
      </c>
      <c r="C326" s="15" t="inlineStr">
        <is>
          <t>TC-175</t>
        </is>
      </c>
      <c r="D326" s="15" t="inlineStr">
        <is>
          <t>NFR</t>
        </is>
      </c>
      <c r="E326" s="16" t="inlineStr">
        <is>
          <t>Application instance and database failover</t>
        </is>
      </c>
      <c r="F326" s="16" t="inlineStr">
        <is>
          <t>IITH IT</t>
        </is>
      </c>
      <c r="G326" s="16" t="inlineStr">
        <is>
          <t>1. Kill one application instance during traffic
2. Fail over to the standby database</t>
        </is>
      </c>
      <c r="H326" s="16" t="inlineStr">
        <is>
          <t>Two instances; streaming standby</t>
        </is>
      </c>
      <c r="I326" s="16" t="inlineStr">
        <is>
          <t>No failed user transactions; RPO within 15 minutes</t>
        </is>
      </c>
      <c r="J326" s="15" t="inlineStr">
        <is>
          <t>SIT</t>
        </is>
      </c>
      <c r="K326" s="16" t="inlineStr">
        <is>
          <t>Not automated</t>
        </is>
      </c>
      <c r="L326" s="18" t="inlineStr">
        <is>
          <t>Not executed</t>
        </is>
      </c>
      <c r="M326" s="16" t="inlineStr">
        <is>
          <t>Not executed – requires IIFT environment (HA infrastructure)</t>
        </is>
      </c>
      <c r="N326" s="16" t="inlineStr"/>
      <c r="O326" s="16" t="inlineStr"/>
      <c r="P326" s="16" t="inlineStr"/>
    </row>
    <row r="327">
      <c r="A327" s="15" t="inlineStr">
        <is>
          <t>CS-0326</t>
        </is>
      </c>
      <c r="B327" s="15" t="inlineStr">
        <is>
          <t>TS-61</t>
        </is>
      </c>
      <c r="C327" s="15" t="inlineStr">
        <is>
          <t>TC-176</t>
        </is>
      </c>
      <c r="D327" s="15" t="inlineStr">
        <is>
          <t>NFR</t>
        </is>
      </c>
      <c r="E327" s="16" t="inlineStr">
        <is>
          <t>Backup and restore drill</t>
        </is>
      </c>
      <c r="F327" s="16" t="inlineStr">
        <is>
          <t>IITH IT</t>
        </is>
      </c>
      <c r="G327" s="16" t="inlineStr">
        <is>
          <t>1. Take a backup
2. Restore into a scratch database
3. Compare counts</t>
        </is>
      </c>
      <c r="H327" s="16" t="inlineStr">
        <is>
          <t>pgBackRest or platform backup</t>
        </is>
      </c>
      <c r="I327" s="16" t="inlineStr">
        <is>
          <t>Restore succeeds; counts match</t>
        </is>
      </c>
      <c r="J327" s="15" t="inlineStr">
        <is>
          <t>SIT</t>
        </is>
      </c>
      <c r="K327" s="16" t="inlineStr">
        <is>
          <t>Not automated</t>
        </is>
      </c>
      <c r="L327" s="18" t="inlineStr">
        <is>
          <t>Not executed</t>
        </is>
      </c>
      <c r="M327" s="16" t="inlineStr">
        <is>
          <t>Not executed – requires IIFT environment (backup platform)</t>
        </is>
      </c>
      <c r="N327" s="16" t="inlineStr"/>
      <c r="O327" s="16" t="inlineStr"/>
      <c r="P327" s="16" t="inlineStr"/>
    </row>
    <row r="328">
      <c r="A328" s="15" t="inlineStr">
        <is>
          <t>CS-0327</t>
        </is>
      </c>
      <c r="B328" s="15" t="inlineStr">
        <is>
          <t>TS-61</t>
        </is>
      </c>
      <c r="C328" s="15" t="inlineStr">
        <is>
          <t>TC-177</t>
        </is>
      </c>
      <c r="D328" s="15" t="inlineStr">
        <is>
          <t>NFR</t>
        </is>
      </c>
      <c r="E328" s="16" t="inlineStr">
        <is>
          <t>DR failover drill</t>
        </is>
      </c>
      <c r="F328" s="16" t="inlineStr">
        <is>
          <t>IITH IT</t>
        </is>
      </c>
      <c r="G328" s="16" t="inlineStr">
        <is>
          <t>1. Declare DR
2. Promote the DR database; start the application in the DR site
3. Measure RTO/RPO</t>
        </is>
      </c>
      <c r="H328" s="16" t="inlineStr">
        <is>
          <t>DR site/region</t>
        </is>
      </c>
      <c r="I328" s="16" t="inlineStr">
        <is>
          <t>RTO ≤ 4 h; RPO ≤ 15 min; documented</t>
        </is>
      </c>
      <c r="J328" s="15" t="inlineStr">
        <is>
          <t>SIT</t>
        </is>
      </c>
      <c r="K328" s="16" t="inlineStr">
        <is>
          <t>Not automated</t>
        </is>
      </c>
      <c r="L328" s="18" t="inlineStr">
        <is>
          <t>Not executed</t>
        </is>
      </c>
      <c r="M328" s="16" t="inlineStr">
        <is>
          <t>Not executed – requires IIFT environment (DR site); NFR-19</t>
        </is>
      </c>
      <c r="N328" s="16" t="inlineStr"/>
      <c r="O328" s="16" t="inlineStr"/>
      <c r="P328" s="16" t="inlineStr"/>
    </row>
    <row r="329">
      <c r="A329" s="15" t="inlineStr">
        <is>
          <t>CS-0328</t>
        </is>
      </c>
      <c r="B329" s="15" t="inlineStr">
        <is>
          <t>TS-62</t>
        </is>
      </c>
      <c r="C329" s="15" t="inlineStr">
        <is>
          <t>TC-178</t>
        </is>
      </c>
      <c r="D329" s="15" t="inlineStr">
        <is>
          <t>NFR</t>
        </is>
      </c>
      <c r="E329" s="16" t="inlineStr">
        <is>
          <t>Browser matrix on IIFT devices</t>
        </is>
      </c>
      <c r="F329" s="16" t="inlineStr">
        <is>
          <t>UAT testers</t>
        </is>
      </c>
      <c r="G329" s="16" t="inlineStr">
        <is>
          <t>1. Run the UAT smoke script on Chrome, Edge, Firefox, Safari and the IIFT standard laptop and phone</t>
        </is>
      </c>
      <c r="H329" s="16" t="inlineStr">
        <is>
          <t>Agreed browser list</t>
        </is>
      </c>
      <c r="I329" s="16" t="inlineStr">
        <is>
          <t>No blocking defects on any agreed browser</t>
        </is>
      </c>
      <c r="J329" s="15" t="inlineStr">
        <is>
          <t>UAT</t>
        </is>
      </c>
      <c r="K329" s="16" t="inlineStr">
        <is>
          <t>Not automated</t>
        </is>
      </c>
      <c r="L329" s="18" t="inlineStr">
        <is>
          <t>Not executed</t>
        </is>
      </c>
      <c r="M329" s="16" t="inlineStr">
        <is>
          <t>Not executed – requires IIFT environment (browser matrix on IIFT devices, weeks 19–22)</t>
        </is>
      </c>
      <c r="N329" s="16" t="inlineStr"/>
      <c r="O329" s="16" t="inlineStr"/>
      <c r="P329" s="16" t="inlineStr"/>
    </row>
    <row r="330">
      <c r="A330" s="15" t="inlineStr">
        <is>
          <t>CS-0329</t>
        </is>
      </c>
      <c r="B330" s="15" t="inlineStr">
        <is>
          <t>TS-62</t>
        </is>
      </c>
      <c r="C330" s="15" t="inlineStr">
        <is>
          <t>TC-179</t>
        </is>
      </c>
      <c r="D330" s="15" t="inlineStr">
        <is>
          <t>NFR</t>
        </is>
      </c>
      <c r="E330" s="16" t="inlineStr">
        <is>
          <t>Accessibility review</t>
        </is>
      </c>
      <c r="F330" s="16" t="inlineStr">
        <is>
          <t>UAT testers</t>
        </is>
      </c>
      <c r="G330" s="16" t="inlineStr">
        <is>
          <t>1. Keyboard-only navigation of the wizard and approvals
2. Screen-reader labels; contrast check</t>
        </is>
      </c>
      <c r="H330" s="16" t="inlineStr">
        <is>
          <t>WCAG 2.1 AA basics</t>
        </is>
      </c>
      <c r="I330" s="16" t="inlineStr">
        <is>
          <t>No blocking accessibility issues</t>
        </is>
      </c>
      <c r="J330" s="15" t="inlineStr">
        <is>
          <t>UAT</t>
        </is>
      </c>
      <c r="K330" s="16" t="inlineStr">
        <is>
          <t>Not automated</t>
        </is>
      </c>
      <c r="L330" s="18" t="inlineStr">
        <is>
          <t>Not executed</t>
        </is>
      </c>
      <c r="M330" s="16" t="inlineStr">
        <is>
          <t>Not executed – UI under restyling; scheduled with UAT</t>
        </is>
      </c>
      <c r="N330" s="16" t="inlineStr"/>
      <c r="O330" s="16" t="inlineStr"/>
      <c r="P330" s="16" t="inlineStr"/>
    </row>
    <row r="331">
      <c r="A331" s="15" t="inlineStr">
        <is>
          <t>CS-0330</t>
        </is>
      </c>
      <c r="B331" s="15" t="inlineStr">
        <is>
          <t>TS-62</t>
        </is>
      </c>
      <c r="C331" s="15" t="inlineStr">
        <is>
          <t>TC-180</t>
        </is>
      </c>
      <c r="D331" s="15" t="inlineStr">
        <is>
          <t>NFR</t>
        </is>
      </c>
      <c r="E331" s="16" t="inlineStr">
        <is>
          <t>Global search and user menu</t>
        </is>
      </c>
      <c r="F331" s="16" t="inlineStr">
        <is>
          <t>ag-000001</t>
        </is>
      </c>
      <c r="G331" s="16" t="inlineStr">
        <is>
          <t>1. Use the global search
2. Open the user menu</t>
        </is>
      </c>
      <c r="H331" s="16" t="inlineStr">
        <is>
          <t>Policy number</t>
        </is>
      </c>
      <c r="I331" s="16" t="inlineStr">
        <is>
          <t>Results link to the record; menu offers profile, password and sign-out</t>
        </is>
      </c>
      <c r="J331" s="15" t="inlineStr">
        <is>
          <t>UI</t>
        </is>
      </c>
      <c r="K331" s="16" t="inlineStr">
        <is>
          <t>Manual (exploratory)</t>
        </is>
      </c>
      <c r="L331" s="17" t="inlineStr">
        <is>
          <t>Passed</t>
        </is>
      </c>
      <c r="M331" s="16" t="inlineStr">
        <is>
          <t>Screens: ui-search.png, ui-user-menu.png (evidence/ui-screens)</t>
        </is>
      </c>
      <c r="N331" s="16" t="inlineStr">
        <is>
          <t>2 Oct 2026</t>
        </is>
      </c>
      <c r="O331" s="16" t="inlineStr">
        <is>
          <t>iorta QA (manual, exploratory)</t>
        </is>
      </c>
      <c r="P331" s="16" t="inlineStr"/>
    </row>
    <row r="332">
      <c r="A332" s="15" t="inlineStr">
        <is>
          <t>CS-0331</t>
        </is>
      </c>
      <c r="B332" s="15" t="inlineStr">
        <is>
          <t>TS-63</t>
        </is>
      </c>
      <c r="C332" s="15" t="inlineStr">
        <is>
          <t>TC-181</t>
        </is>
      </c>
      <c r="D332" s="15" t="inlineStr">
        <is>
          <t>NFR</t>
        </is>
      </c>
      <c r="E332" s="16" t="inlineStr">
        <is>
          <t>Atomic issuance under failure</t>
        </is>
      </c>
      <c r="F332" s="16" t="inlineStr">
        <is>
          <t>Developer</t>
        </is>
      </c>
      <c r="G332" s="16" t="inlineStr">
        <is>
          <t>1. Inject a failure after receipt creation inside the issuance transaction
2. Inspect policy, receipt, audit and outbox</t>
        </is>
      </c>
      <c r="H332" s="16" t="inlineStr">
        <is>
          <t>Fault injection</t>
        </is>
      </c>
      <c r="I332" s="16" t="inlineStr">
        <is>
          <t>Nothing persisted; no gap in numbering</t>
        </is>
      </c>
      <c r="J332" s="15" t="inlineStr">
        <is>
          <t>SIT</t>
        </is>
      </c>
      <c r="K332" s="16" t="inlineStr">
        <is>
          <t>Not automated</t>
        </is>
      </c>
      <c r="L332" s="18" t="inlineStr">
        <is>
          <t>Not executed</t>
        </is>
      </c>
      <c r="M332" s="16" t="inlineStr">
        <is>
          <t>Not executed – fault-injection harness scheduled for SIT</t>
        </is>
      </c>
      <c r="N332" s="16" t="inlineStr"/>
      <c r="O332" s="16" t="inlineStr"/>
      <c r="P332" s="16" t="inlineStr"/>
    </row>
    <row r="333">
      <c r="A333" s="15" t="inlineStr">
        <is>
          <t>CS-0332</t>
        </is>
      </c>
      <c r="B333" s="15" t="inlineStr">
        <is>
          <t>TS-63</t>
        </is>
      </c>
      <c r="C333" s="15" t="inlineStr">
        <is>
          <t>TC-182</t>
        </is>
      </c>
      <c r="D333" s="15" t="inlineStr">
        <is>
          <t>NFR</t>
        </is>
      </c>
      <c r="E333" s="16" t="inlineStr">
        <is>
          <t>Optimistic locking on concurrent edits</t>
        </is>
      </c>
      <c r="F333" s="16" t="inlineStr">
        <is>
          <t>Two agents</t>
        </is>
      </c>
      <c r="G333" s="16" t="inlineStr">
        <is>
          <t>1. Open the same draft in two sessions
2. Save from both</t>
        </is>
      </c>
      <c r="H333" s="16" t="inlineStr">
        <is>
          <t>version column</t>
        </is>
      </c>
      <c r="I333" s="16" t="inlineStr">
        <is>
          <t>Second save refused with 409 STALE_RECORD</t>
        </is>
      </c>
      <c r="J333" s="15" t="inlineStr">
        <is>
          <t>API</t>
        </is>
      </c>
      <c r="K333" s="16" t="inlineStr">
        <is>
          <t>Not automated</t>
        </is>
      </c>
      <c r="L333" s="18" t="inlineStr">
        <is>
          <t>Not executed</t>
        </is>
      </c>
      <c r="M333" s="16" t="inlineStr">
        <is>
          <t>Not executed in this run; scheduled for SIT regression</t>
        </is>
      </c>
      <c r="N333" s="16" t="inlineStr"/>
      <c r="O333" s="16" t="inlineStr"/>
      <c r="P333" s="16" t="inlineStr"/>
    </row>
    <row r="334">
      <c r="A334" s="15" t="inlineStr">
        <is>
          <t>CS-0333</t>
        </is>
      </c>
      <c r="B334" s="15" t="inlineStr">
        <is>
          <t>TS-64</t>
        </is>
      </c>
      <c r="C334" s="15" t="inlineStr">
        <is>
          <t>TC-183</t>
        </is>
      </c>
      <c r="D334" s="15" t="inlineStr">
        <is>
          <t>NFR</t>
        </is>
      </c>
      <c r="E334" s="16" t="inlineStr">
        <is>
          <t>OpenAPI contract review with integration partners</t>
        </is>
      </c>
      <c r="F334" s="16" t="inlineStr">
        <is>
          <t>IITH IT</t>
        </is>
      </c>
      <c r="G334" s="16" t="inlineStr">
        <is>
          <t>1. Review docs/api/openapi.json
2. Generate a client stub</t>
        </is>
      </c>
      <c r="H334" s="16" t="inlineStr">
        <is>
          <t>OpenAPI 3</t>
        </is>
      </c>
      <c r="I334" s="16" t="inlineStr">
        <is>
          <t>Every operation documented; stub compiles</t>
        </is>
      </c>
      <c r="J334" s="15" t="inlineStr">
        <is>
          <t>SIT</t>
        </is>
      </c>
      <c r="K334" s="16" t="inlineStr">
        <is>
          <t>Not automated</t>
        </is>
      </c>
      <c r="L334" s="18" t="inlineStr">
        <is>
          <t>Not executed</t>
        </is>
      </c>
      <c r="M334" s="16" t="inlineStr">
        <is>
          <t>Not executed – requires IIFT environment (partner review in SIT)</t>
        </is>
      </c>
      <c r="N334" s="16" t="inlineStr"/>
      <c r="O334" s="16" t="inlineStr"/>
      <c r="P334" s="16" t="inlineStr"/>
    </row>
    <row r="335">
      <c r="A335" s="15" t="inlineStr">
        <is>
          <t>CS-0334</t>
        </is>
      </c>
      <c r="B335" s="15" t="inlineStr">
        <is>
          <t>TS-65</t>
        </is>
      </c>
      <c r="C335" s="15" t="inlineStr">
        <is>
          <t>TC-184</t>
        </is>
      </c>
      <c r="D335" s="15" t="inlineStr">
        <is>
          <t>NFR</t>
        </is>
      </c>
      <c r="E335" s="16" t="inlineStr">
        <is>
          <t>Retention and archival policy</t>
        </is>
      </c>
      <c r="F335" s="16" t="inlineStr">
        <is>
          <t>Administrator</t>
        </is>
      </c>
      <c r="G335" s="16" t="inlineStr">
        <is>
          <t>1. Agree retention periods
2. Run the archival job</t>
        </is>
      </c>
      <c r="H335" s="16" t="inlineStr">
        <is>
          <t>Policy agreed in design</t>
        </is>
      </c>
      <c r="I335" s="16" t="inlineStr">
        <is>
          <t>Records archived per policy</t>
        </is>
      </c>
      <c r="J335" s="15" t="inlineStr">
        <is>
          <t>SIT</t>
        </is>
      </c>
      <c r="K335" s="16" t="inlineStr">
        <is>
          <t>Not automated</t>
        </is>
      </c>
      <c r="L335" s="18" t="inlineStr">
        <is>
          <t>Not executed</t>
        </is>
      </c>
      <c r="M335" s="16" t="inlineStr">
        <is>
          <t>Not executed – retention periods to be agreed with IIFT (design phase)</t>
        </is>
      </c>
      <c r="N335" s="16" t="inlineStr"/>
      <c r="O335" s="16" t="inlineStr"/>
      <c r="P335" s="16" t="inlineStr"/>
    </row>
    <row r="336">
      <c r="A336" s="15" t="inlineStr">
        <is>
          <t>CS-0335</t>
        </is>
      </c>
      <c r="B336" s="15" t="inlineStr">
        <is>
          <t>TS-66</t>
        </is>
      </c>
      <c r="C336" s="15" t="inlineStr">
        <is>
          <t>TC-185</t>
        </is>
      </c>
      <c r="D336" s="15" t="inlineStr">
        <is>
          <t>NFR</t>
        </is>
      </c>
      <c r="E336" s="16" t="inlineStr">
        <is>
          <t>Migration dry-run reconciliation</t>
        </is>
      </c>
      <c r="F336" s="16" t="inlineStr">
        <is>
          <t>iorta, IIFT data owners</t>
        </is>
      </c>
      <c r="G336" s="16" t="inlineStr">
        <is>
          <t>1. Load the legacy extract
2. Reconcile counts and totals</t>
        </is>
      </c>
      <c r="H336" s="16" t="inlineStr">
        <is>
          <t>Legacy extracts</t>
        </is>
      </c>
      <c r="I336" s="16" t="inlineStr">
        <is>
          <t>100% count and control-total match</t>
        </is>
      </c>
      <c r="J336" s="15" t="inlineStr">
        <is>
          <t>SIT</t>
        </is>
      </c>
      <c r="K336" s="16" t="inlineStr">
        <is>
          <t>Not automated</t>
        </is>
      </c>
      <c r="L336" s="18" t="inlineStr">
        <is>
          <t>Not executed</t>
        </is>
      </c>
      <c r="M336" s="16" t="inlineStr">
        <is>
          <t>Not executed – requires IIFT environment (legacy extracts; weeks 19–23)</t>
        </is>
      </c>
      <c r="N336" s="16" t="inlineStr"/>
      <c r="O336" s="16" t="inlineStr"/>
      <c r="P336" s="16" t="inlineStr"/>
    </row>
    <row r="337">
      <c r="A337" s="15" t="inlineStr">
        <is>
          <t>CS-0336</t>
        </is>
      </c>
      <c r="B337" s="15" t="inlineStr">
        <is>
          <t>TS-67</t>
        </is>
      </c>
      <c r="C337" s="15" t="inlineStr">
        <is>
          <t>TC-186</t>
        </is>
      </c>
      <c r="D337" s="15" t="inlineStr">
        <is>
          <t>NFR</t>
        </is>
      </c>
      <c r="E337" s="16" t="inlineStr">
        <is>
          <t>UAT execution per product and role</t>
        </is>
      </c>
      <c r="F337" s="16" t="inlineStr">
        <is>
          <t>IIFT business users</t>
        </is>
      </c>
      <c r="G337" s="16" t="inlineStr">
        <is>
          <t>1. Execute the UAT scripts for FFR01–FFR05 and back-office flows
2. Record results and defects
3. Sign off</t>
        </is>
      </c>
      <c r="H337" s="16" t="inlineStr">
        <is>
          <t>UAT environment</t>
        </is>
      </c>
      <c r="I337" s="16" t="inlineStr">
        <is>
          <t>Signed UAT certificate; no open Critical/High</t>
        </is>
      </c>
      <c r="J337" s="15" t="inlineStr">
        <is>
          <t>UAT</t>
        </is>
      </c>
      <c r="K337" s="16" t="inlineStr">
        <is>
          <t>Not automated</t>
        </is>
      </c>
      <c r="L337" s="18" t="inlineStr">
        <is>
          <t>Not executed</t>
        </is>
      </c>
      <c r="M337" s="16" t="inlineStr">
        <is>
          <t>Not executed – requires IIFT environment (UAT by IIFT users, weeks 19–22)</t>
        </is>
      </c>
      <c r="N337" s="16" t="inlineStr"/>
      <c r="O337" s="16" t="inlineStr"/>
      <c r="P337" s="16" t="inlineStr"/>
    </row>
    <row r="338">
      <c r="A338" s="15" t="inlineStr">
        <is>
          <t>CS-0337</t>
        </is>
      </c>
      <c r="B338" s="15" t="inlineStr">
        <is>
          <t>TS-68</t>
        </is>
      </c>
      <c r="C338" s="15" t="inlineStr">
        <is>
          <t>TC-187</t>
        </is>
      </c>
      <c r="D338" s="15" t="inlineStr">
        <is>
          <t>NFR</t>
        </is>
      </c>
      <c r="E338" s="16" t="inlineStr">
        <is>
          <t>Deployment rehearsal and rollback</t>
        </is>
      </c>
      <c r="F338" s="16" t="inlineStr">
        <is>
          <t>iorta, IITH IT</t>
        </is>
      </c>
      <c r="G338" s="16" t="inlineStr">
        <is>
          <t>1. Deploy to pre-production from the release package
2. Execute the rollback</t>
        </is>
      </c>
      <c r="H338" s="16" t="inlineStr">
        <is>
          <t>Deployment plan</t>
        </is>
      </c>
      <c r="I338" s="16" t="inlineStr">
        <is>
          <t>Deployment and rollback within the window; checklist complete</t>
        </is>
      </c>
      <c r="J338" s="15" t="inlineStr">
        <is>
          <t>SIT</t>
        </is>
      </c>
      <c r="K338" s="16" t="inlineStr">
        <is>
          <t>Not automated</t>
        </is>
      </c>
      <c r="L338" s="18" t="inlineStr">
        <is>
          <t>Not executed</t>
        </is>
      </c>
      <c r="M338" s="16" t="inlineStr">
        <is>
          <t>Not executed – requires IIFT environment (pre-production)</t>
        </is>
      </c>
      <c r="N338" s="16" t="inlineStr"/>
      <c r="O338" s="16" t="inlineStr"/>
      <c r="P338" s="16" t="inlineStr"/>
    </row>
    <row r="339">
      <c r="A339" s="15" t="inlineStr">
        <is>
          <t>CS-0338</t>
        </is>
      </c>
      <c r="B339" s="15" t="inlineStr">
        <is>
          <t>TS-69</t>
        </is>
      </c>
      <c r="C339" s="15" t="inlineStr">
        <is>
          <t>TC-188</t>
        </is>
      </c>
      <c r="D339" s="15" t="inlineStr">
        <is>
          <t>PLT</t>
        </is>
      </c>
      <c r="E339" s="16" t="inlineStr">
        <is>
          <t>AppConfig: accepts a complete production configuration</t>
        </is>
      </c>
      <c r="F339" s="16" t="inlineStr">
        <is>
          <t>Developer / CI</t>
        </is>
      </c>
      <c r="G339" s="16" t="inlineStr">
        <is>
          <t>1. Run `npm test -w apps/api` (Vitest)
2. Locate 'AppConfig accepts a complete production configuration' in the run output</t>
        </is>
      </c>
      <c r="H339" s="16" t="inlineStr">
        <is>
          <t>Fixtures defined in config/app-config.spec.ts</t>
        </is>
      </c>
      <c r="I339" s="16" t="inlineStr">
        <is>
          <t>The test passes: AppConfig accepts a complete production configuration.</t>
        </is>
      </c>
      <c r="J339" s="15" t="inlineStr">
        <is>
          <t>Unit</t>
        </is>
      </c>
      <c r="K339" s="16" t="inlineStr">
        <is>
          <t>Automated – config/app-config.spec.ts</t>
        </is>
      </c>
      <c r="L339" s="17" t="inlineStr">
        <is>
          <t>Passed</t>
        </is>
      </c>
      <c r="M339" s="16" t="inlineStr">
        <is>
          <t>api-unit-tests.json: 'AppConfig accepts a complete production configuration' passed (2 Oct 2026 14:55 UTC); test-reruns.json: passed (2 Oct 2026 21:45 UTC)</t>
        </is>
      </c>
      <c r="N339" s="16" t="inlineStr">
        <is>
          <t>2 Oct 2026 21:45 UTC</t>
        </is>
      </c>
      <c r="O339" s="16" t="inlineStr">
        <is>
          <t>iorta QA (Vitest)</t>
        </is>
      </c>
      <c r="P339" s="16" t="inlineStr"/>
    </row>
    <row r="340">
      <c r="A340" s="15" t="inlineStr">
        <is>
          <t>CS-0339</t>
        </is>
      </c>
      <c r="B340" s="15" t="inlineStr">
        <is>
          <t>TS-69</t>
        </is>
      </c>
      <c r="C340" s="15" t="inlineStr">
        <is>
          <t>TC-188</t>
        </is>
      </c>
      <c r="D340" s="15" t="inlineStr">
        <is>
          <t>PLT</t>
        </is>
      </c>
      <c r="E340" s="16" t="inlineStr">
        <is>
          <t>AppConfig: fails fast on missing or weak secrets</t>
        </is>
      </c>
      <c r="F340" s="16" t="inlineStr">
        <is>
          <t>Developer / CI</t>
        </is>
      </c>
      <c r="G340" s="16" t="inlineStr">
        <is>
          <t>1. Run `npm test -w apps/api` (Vitest)
2. Locate 'AppConfig fails fast on missing or weak secrets' in the run output</t>
        </is>
      </c>
      <c r="H340" s="16" t="inlineStr">
        <is>
          <t>Fixtures defined in config/app-config.spec.ts</t>
        </is>
      </c>
      <c r="I340" s="16" t="inlineStr">
        <is>
          <t>The test passes: AppConfig fails fast on missing or weak secrets.</t>
        </is>
      </c>
      <c r="J340" s="15" t="inlineStr">
        <is>
          <t>Unit</t>
        </is>
      </c>
      <c r="K340" s="16" t="inlineStr">
        <is>
          <t>Automated – config/app-config.spec.ts</t>
        </is>
      </c>
      <c r="L340" s="17" t="inlineStr">
        <is>
          <t>Passed</t>
        </is>
      </c>
      <c r="M340" s="16" t="inlineStr">
        <is>
          <t>api-unit-tests.json: 'AppConfig fails fast on missing or weak secrets' passed (2 Oct 2026 14:55 UTC); test-reruns.json: passed (2 Oct 2026 21:45 UTC)</t>
        </is>
      </c>
      <c r="N340" s="16" t="inlineStr">
        <is>
          <t>2 Oct 2026 21:45 UTC</t>
        </is>
      </c>
      <c r="O340" s="16" t="inlineStr">
        <is>
          <t>iorta QA (Vitest)</t>
        </is>
      </c>
      <c r="P340" s="16" t="inlineStr"/>
    </row>
    <row r="341">
      <c r="A341" s="15" t="inlineStr">
        <is>
          <t>CS-0340</t>
        </is>
      </c>
      <c r="B341" s="15" t="inlineStr">
        <is>
          <t>TS-69</t>
        </is>
      </c>
      <c r="C341" s="15" t="inlineStr">
        <is>
          <t>TC-188</t>
        </is>
      </c>
      <c r="D341" s="15" t="inlineStr">
        <is>
          <t>PLT</t>
        </is>
      </c>
      <c r="E341" s="16" t="inlineStr">
        <is>
          <t>AppConfig: loads a minimal development configuration with safe defaults</t>
        </is>
      </c>
      <c r="F341" s="16" t="inlineStr">
        <is>
          <t>Developer / CI</t>
        </is>
      </c>
      <c r="G341" s="16" t="inlineStr">
        <is>
          <t>1. Run `npm test -w apps/api` (Vitest)
2. Locate 'AppConfig loads a minimal development configuration with safe defaults' in the run output</t>
        </is>
      </c>
      <c r="H341" s="16" t="inlineStr">
        <is>
          <t>Fixtures defined in config/app-config.spec.ts</t>
        </is>
      </c>
      <c r="I341" s="16" t="inlineStr">
        <is>
          <t>The test passes: AppConfig loads a minimal development configuration with safe defaults.</t>
        </is>
      </c>
      <c r="J341" s="15" t="inlineStr">
        <is>
          <t>Unit</t>
        </is>
      </c>
      <c r="K341" s="16" t="inlineStr">
        <is>
          <t>Automated – config/app-config.spec.ts</t>
        </is>
      </c>
      <c r="L341" s="17" t="inlineStr">
        <is>
          <t>Passed</t>
        </is>
      </c>
      <c r="M341" s="16" t="inlineStr">
        <is>
          <t>api-unit-tests.json: 'AppConfig loads a minimal development configuration with safe defaults' passed (2 Oct 2026 14:55 UTC); test-reruns.json: passed (2 Oct 2026 21:45 UTC)</t>
        </is>
      </c>
      <c r="N341" s="16" t="inlineStr">
        <is>
          <t>2 Oct 2026 21:45 UTC</t>
        </is>
      </c>
      <c r="O341" s="16" t="inlineStr">
        <is>
          <t>iorta QA (Vitest)</t>
        </is>
      </c>
      <c r="P341" s="16" t="inlineStr"/>
    </row>
    <row r="342">
      <c r="A342" s="15" t="inlineStr">
        <is>
          <t>CS-0341</t>
        </is>
      </c>
      <c r="B342" s="15" t="inlineStr">
        <is>
          <t>TS-69</t>
        </is>
      </c>
      <c r="C342" s="15" t="inlineStr">
        <is>
          <t>TC-188</t>
        </is>
      </c>
      <c r="D342" s="15" t="inlineStr">
        <is>
          <t>PLT</t>
        </is>
      </c>
      <c r="E342" s="16" t="inlineStr">
        <is>
          <t>AppConfig: refuses insecure production settings</t>
        </is>
      </c>
      <c r="F342" s="16" t="inlineStr">
        <is>
          <t>Developer / CI</t>
        </is>
      </c>
      <c r="G342" s="16" t="inlineStr">
        <is>
          <t>1. Run `npm test -w apps/api` (Vitest)
2. Locate 'AppConfig refuses insecure production settings' in the run output</t>
        </is>
      </c>
      <c r="H342" s="16" t="inlineStr">
        <is>
          <t>Fixtures defined in config/app-config.spec.ts</t>
        </is>
      </c>
      <c r="I342" s="16" t="inlineStr">
        <is>
          <t>The test passes: AppConfig refuses insecure production settings.</t>
        </is>
      </c>
      <c r="J342" s="15" t="inlineStr">
        <is>
          <t>Unit</t>
        </is>
      </c>
      <c r="K342" s="16" t="inlineStr">
        <is>
          <t>Automated – config/app-config.spec.ts</t>
        </is>
      </c>
      <c r="L342" s="17" t="inlineStr">
        <is>
          <t>Passed</t>
        </is>
      </c>
      <c r="M342" s="16" t="inlineStr">
        <is>
          <t>api-unit-tests.json: 'AppConfig refuses insecure production settings' passed (2 Oct 2026 14:55 UTC); test-reruns.json: passed (2 Oct 2026 21:45 UTC)</t>
        </is>
      </c>
      <c r="N342" s="16" t="inlineStr">
        <is>
          <t>2 Oct 2026 21:45 UTC</t>
        </is>
      </c>
      <c r="O342" s="16" t="inlineStr">
        <is>
          <t>iorta QA (Vitest)</t>
        </is>
      </c>
      <c r="P342" s="16" t="inlineStr"/>
    </row>
    <row r="343">
      <c r="A343" s="15" t="inlineStr">
        <is>
          <t>CS-0342</t>
        </is>
      </c>
      <c r="B343" s="15" t="inlineStr">
        <is>
          <t>TS-69</t>
        </is>
      </c>
      <c r="C343" s="15" t="inlineStr">
        <is>
          <t>TC-189</t>
        </is>
      </c>
      <c r="D343" s="15" t="inlineStr">
        <is>
          <t>PLT</t>
        </is>
      </c>
      <c r="E343" s="16" t="inlineStr">
        <is>
          <t>date helpers: adds months and counts days</t>
        </is>
      </c>
      <c r="F343" s="16" t="inlineStr">
        <is>
          <t>Developer / CI</t>
        </is>
      </c>
      <c r="G343" s="16" t="inlineStr">
        <is>
          <t>1. Run `npm test -w apps/api` (Vitest)
2. Locate 'date helpers adds months and counts days' in the run output</t>
        </is>
      </c>
      <c r="H343" s="16" t="inlineStr">
        <is>
          <t>Fixtures defined in common/util/dates.spec.ts</t>
        </is>
      </c>
      <c r="I343" s="16" t="inlineStr">
        <is>
          <t>The test passes: date helpers adds months and counts days.</t>
        </is>
      </c>
      <c r="J343" s="15" t="inlineStr">
        <is>
          <t>Unit</t>
        </is>
      </c>
      <c r="K343" s="16" t="inlineStr">
        <is>
          <t>Automated – common/util/dates.spec.ts</t>
        </is>
      </c>
      <c r="L343" s="17" t="inlineStr">
        <is>
          <t>Passed</t>
        </is>
      </c>
      <c r="M343" s="16" t="inlineStr">
        <is>
          <t>api-unit-tests.json: 'date helpers adds months and counts days' passed (2 Oct 2026 14:55 UTC); test-reruns.json: passed (2 Oct 2026 21:45 UTC)</t>
        </is>
      </c>
      <c r="N343" s="16" t="inlineStr">
        <is>
          <t>2 Oct 2026 21:45 UTC</t>
        </is>
      </c>
      <c r="O343" s="16" t="inlineStr">
        <is>
          <t>iorta QA (Vitest)</t>
        </is>
      </c>
      <c r="P343" s="16" t="inlineStr"/>
    </row>
    <row r="344">
      <c r="A344" s="15" t="inlineStr">
        <is>
          <t>CS-0343</t>
        </is>
      </c>
      <c r="B344" s="15" t="inlineStr">
        <is>
          <t>TS-69</t>
        </is>
      </c>
      <c r="C344" s="15" t="inlineStr">
        <is>
          <t>TC-189</t>
        </is>
      </c>
      <c r="D344" s="15" t="inlineStr">
        <is>
          <t>PLT</t>
        </is>
      </c>
      <c r="E344" s="16" t="inlineStr">
        <is>
          <t>date helpers: computes age at next birthday</t>
        </is>
      </c>
      <c r="F344" s="16" t="inlineStr">
        <is>
          <t>Developer / CI</t>
        </is>
      </c>
      <c r="G344" s="16" t="inlineStr">
        <is>
          <t>1. Run `npm test -w apps/api` (Vitest)
2. Locate 'date helpers computes age at next birthday' in the run output</t>
        </is>
      </c>
      <c r="H344" s="16" t="inlineStr">
        <is>
          <t>Fixtures defined in common/util/dates.spec.ts</t>
        </is>
      </c>
      <c r="I344" s="16" t="inlineStr">
        <is>
          <t>The test passes: date helpers computes age at next birthday.</t>
        </is>
      </c>
      <c r="J344" s="15" t="inlineStr">
        <is>
          <t>Unit</t>
        </is>
      </c>
      <c r="K344" s="16" t="inlineStr">
        <is>
          <t>Automated – common/util/dates.spec.ts</t>
        </is>
      </c>
      <c r="L344" s="17" t="inlineStr">
        <is>
          <t>Passed</t>
        </is>
      </c>
      <c r="M344" s="16" t="inlineStr">
        <is>
          <t>api-unit-tests.json: 'date helpers computes age at next birthday' passed (2 Oct 2026 14:55 UTC); test-reruns.json: passed (2 Oct 2026 21:45 UTC)</t>
        </is>
      </c>
      <c r="N344" s="16" t="inlineStr">
        <is>
          <t>2 Oct 2026 21:45 UTC</t>
        </is>
      </c>
      <c r="O344" s="16" t="inlineStr">
        <is>
          <t>iorta QA (Vitest)</t>
        </is>
      </c>
      <c r="P344" s="16" t="inlineStr"/>
    </row>
    <row r="345">
      <c r="A345" s="15" t="inlineStr">
        <is>
          <t>CS-0344</t>
        </is>
      </c>
      <c r="B345" s="15" t="inlineStr">
        <is>
          <t>TS-69</t>
        </is>
      </c>
      <c r="C345" s="15" t="inlineStr">
        <is>
          <t>TC-189</t>
        </is>
      </c>
      <c r="D345" s="15" t="inlineStr">
        <is>
          <t>PLT</t>
        </is>
      </c>
      <c r="E345" s="16" t="inlineStr">
        <is>
          <t>date helpers: returns the UTC instants bounding a Brunei business day</t>
        </is>
      </c>
      <c r="F345" s="16" t="inlineStr">
        <is>
          <t>Developer / CI</t>
        </is>
      </c>
      <c r="G345" s="16" t="inlineStr">
        <is>
          <t>1. Run `npm test -w apps/api` (Vitest)
2. Locate 'date helpers returns the UTC instants bounding a Brunei business day' in the run output</t>
        </is>
      </c>
      <c r="H345" s="16" t="inlineStr">
        <is>
          <t>Fixtures defined in common/util/dates.spec.ts</t>
        </is>
      </c>
      <c r="I345" s="16" t="inlineStr">
        <is>
          <t>The test passes: date helpers returns the UTC instants bounding a Brunei business day.</t>
        </is>
      </c>
      <c r="J345" s="15" t="inlineStr">
        <is>
          <t>Unit</t>
        </is>
      </c>
      <c r="K345" s="16" t="inlineStr">
        <is>
          <t>Automated – common/util/dates.spec.ts</t>
        </is>
      </c>
      <c r="L345" s="17" t="inlineStr">
        <is>
          <t>Passed</t>
        </is>
      </c>
      <c r="M345" s="16" t="inlineStr">
        <is>
          <t>api-unit-tests.json: 'date helpers returns the UTC instants bounding a Brunei business day' passed (2 Oct 2026 14:55 UTC); test-reruns.json: passed (2 Oct 2026 21:45 UTC)</t>
        </is>
      </c>
      <c r="N345" s="16" t="inlineStr">
        <is>
          <t>2 Oct 2026 21:45 UTC</t>
        </is>
      </c>
      <c r="O345" s="16" t="inlineStr">
        <is>
          <t>iorta QA (Vitest)</t>
        </is>
      </c>
      <c r="P345" s="16" t="inlineStr"/>
    </row>
    <row r="346">
      <c r="A346" s="15" t="inlineStr">
        <is>
          <t>CS-0345</t>
        </is>
      </c>
      <c r="B346" s="15" t="inlineStr">
        <is>
          <t>TS-69</t>
        </is>
      </c>
      <c r="C346" s="15" t="inlineStr">
        <is>
          <t>TC-189</t>
        </is>
      </c>
      <c r="D346" s="15" t="inlineStr">
        <is>
          <t>PLT</t>
        </is>
      </c>
      <c r="E346" s="16" t="inlineStr">
        <is>
          <t>date helpers: uses the Brunei calendar day (UTC+8) as the business date</t>
        </is>
      </c>
      <c r="F346" s="16" t="inlineStr">
        <is>
          <t>Developer / CI</t>
        </is>
      </c>
      <c r="G346" s="16" t="inlineStr">
        <is>
          <t>1. Run `npm test -w apps/api` (Vitest)
2. Locate 'date helpers uses the Brunei calendar day (UTC+8) as the business date' in the run output</t>
        </is>
      </c>
      <c r="H346" s="16" t="inlineStr">
        <is>
          <t>Fixtures defined in common/util/dates.spec.ts</t>
        </is>
      </c>
      <c r="I346" s="16" t="inlineStr">
        <is>
          <t>The test passes: date helpers uses the Brunei calendar day (UTC+8) as the business date.</t>
        </is>
      </c>
      <c r="J346" s="15" t="inlineStr">
        <is>
          <t>Unit</t>
        </is>
      </c>
      <c r="K346" s="16" t="inlineStr">
        <is>
          <t>Automated – common/util/dates.spec.ts</t>
        </is>
      </c>
      <c r="L346" s="17" t="inlineStr">
        <is>
          <t>Passed</t>
        </is>
      </c>
      <c r="M346" s="16" t="inlineStr">
        <is>
          <t>api-unit-tests.json: 'date helpers uses the Brunei calendar day (UTC+8) as the business date' passed (2 Oct 2026 14:55 UTC); test-reruns.json: passed (2 Oct 2026 21:45 UTC)</t>
        </is>
      </c>
      <c r="N346" s="16" t="inlineStr">
        <is>
          <t>2 Oct 2026 21:45 UTC</t>
        </is>
      </c>
      <c r="O346" s="16" t="inlineStr">
        <is>
          <t>iorta QA (Vitest)</t>
        </is>
      </c>
      <c r="P346" s="16" t="inlineStr"/>
    </row>
    <row r="347">
      <c r="A347" s="15" t="inlineStr">
        <is>
          <t>CS-0346</t>
        </is>
      </c>
      <c r="B347" s="15" t="inlineStr">
        <is>
          <t>TS-69</t>
        </is>
      </c>
      <c r="C347" s="15" t="inlineStr">
        <is>
          <t>TC-190</t>
        </is>
      </c>
      <c r="D347" s="15" t="inlineStr">
        <is>
          <t>PLT</t>
        </is>
      </c>
      <c r="E347" s="16" t="inlineStr">
        <is>
          <t>API documentation is served in the test environment only when enabled</t>
        </is>
      </c>
      <c r="F347" s="16" t="inlineStr">
        <is>
          <t>anonymous</t>
        </is>
      </c>
      <c r="G347" s="16" t="inlineStr">
        <is>
          <t>1. GET /api/docs</t>
        </is>
      </c>
      <c r="H347" s="16" t="inlineStr">
        <is>
          <t>API_DOCS_ENABLED</t>
        </is>
      </c>
      <c r="I347" s="16" t="inlineStr">
        <is>
          <t>GET /api/docs → 200 (API_DOCS_ENABLED=true in test) or 404 when disabled</t>
        </is>
      </c>
      <c r="J347" s="15" t="inlineStr">
        <is>
          <t>API</t>
        </is>
      </c>
      <c r="K347" s="16" t="inlineStr">
        <is>
          <t>Executed – API run (tools/testing/api-test-run.mjs)</t>
        </is>
      </c>
      <c r="L347" s="17" t="inlineStr">
        <is>
          <t>Passed</t>
        </is>
      </c>
      <c r="M347" s="16" t="inlineStr">
        <is>
          <t>api-test-run.json EX-132: GET /api/docs → 200</t>
        </is>
      </c>
      <c r="N347" s="16" t="inlineStr">
        <is>
          <t>2 Oct 2026 22:14 UTC</t>
        </is>
      </c>
      <c r="O347" s="16" t="inlineStr">
        <is>
          <t>iorta TechNXT QA (API run)</t>
        </is>
      </c>
      <c r="P347" s="16" t="inlineStr"/>
    </row>
    <row r="348">
      <c r="A348" s="15" t="inlineStr">
        <is>
          <t>CS-0347</t>
        </is>
      </c>
      <c r="B348" s="15" t="inlineStr">
        <is>
          <t>TS-69</t>
        </is>
      </c>
      <c r="C348" s="15" t="inlineStr">
        <is>
          <t>TC-190</t>
        </is>
      </c>
      <c r="D348" s="15" t="inlineStr">
        <is>
          <t>PLT</t>
        </is>
      </c>
      <c r="E348" s="16" t="inlineStr">
        <is>
          <t>Security headers and health endpoints</t>
        </is>
      </c>
      <c r="F348" s="16" t="inlineStr">
        <is>
          <t>anonymous</t>
        </is>
      </c>
      <c r="G348" s="16" t="inlineStr">
        <is>
          <t>1. GET /health/live
2. GET /health/ready
3. Inspect response headers</t>
        </is>
      </c>
      <c r="H348" s="16" t="inlineStr">
        <is>
          <t>Anonymous</t>
        </is>
      </c>
      <c r="I348" s="16" t="inlineStr">
        <is>
          <t>GET /health/live and /health/ready → 200; nosniff, HSTS and CSP present; X-Powered-By absent</t>
        </is>
      </c>
      <c r="J348" s="15" t="inlineStr">
        <is>
          <t>API</t>
        </is>
      </c>
      <c r="K348" s="16" t="inlineStr">
        <is>
          <t>Executed – API run (tools/testing/api-test-run.mjs)</t>
        </is>
      </c>
      <c r="L348" s="17" t="inlineStr">
        <is>
          <t>Passed</t>
        </is>
      </c>
      <c r="M348" s="16" t="inlineStr">
        <is>
          <t>api-test-run.json EX-131: GET /health/live; GET /health/ready → 200 200 db=up; nosniff=nosniff hsts=true csp=true powered-by=absent</t>
        </is>
      </c>
      <c r="N348" s="16" t="inlineStr">
        <is>
          <t>2 Oct 2026 22:14 UTC</t>
        </is>
      </c>
      <c r="O348" s="16" t="inlineStr">
        <is>
          <t>iorta TechNXT QA (API run)</t>
        </is>
      </c>
      <c r="P348" s="16" t="inlineStr"/>
    </row>
    <row r="349">
      <c r="A349" s="15" t="inlineStr">
        <is>
          <t>CS-0348</t>
        </is>
      </c>
      <c r="B349" s="15" t="inlineStr">
        <is>
          <t>TS-70</t>
        </is>
      </c>
      <c r="C349" s="15" t="inlineStr">
        <is>
          <t>TC-191</t>
        </is>
      </c>
      <c r="D349" s="15" t="inlineStr">
        <is>
          <t>PLT</t>
        </is>
      </c>
      <c r="E349" s="16" t="inlineStr">
        <is>
          <t>api errors: does not end the session on other client errors</t>
        </is>
      </c>
      <c r="F349" s="16" t="inlineStr">
        <is>
          <t>Developer / CI</t>
        </is>
      </c>
      <c r="G349" s="16" t="inlineStr">
        <is>
          <t>1. Run `npm test -w apps/web` (Vitest, Testing Library, jsdom)
2. Locate 'api errors does not end the session on other client errors' in the run output</t>
        </is>
      </c>
      <c r="H349" s="16" t="inlineStr">
        <is>
          <t>Fixtures defined in api/client.test.ts</t>
        </is>
      </c>
      <c r="I349" s="16" t="inlineStr">
        <is>
          <t>The test passes: api errors does not end the session on other client errors.</t>
        </is>
      </c>
      <c r="J349" s="15" t="inlineStr">
        <is>
          <t>Unit</t>
        </is>
      </c>
      <c r="K349" s="16" t="inlineStr">
        <is>
          <t>Automated – api/client.test.ts</t>
        </is>
      </c>
      <c r="L349" s="17" t="inlineStr">
        <is>
          <t>Passed</t>
        </is>
      </c>
      <c r="M349" s="16" t="inlineStr">
        <is>
          <t>web-unit-tests.json: 'api errors does not end the session on other client errors' passed (2 Oct 2026 14:56 UTC); test-reruns.json: passed (2 Oct 2026 21:45 UTC)</t>
        </is>
      </c>
      <c r="N349" s="16" t="inlineStr">
        <is>
          <t>2 Oct 2026 21:45 UTC</t>
        </is>
      </c>
      <c r="O349" s="16" t="inlineStr">
        <is>
          <t>iorta QA (Vitest)</t>
        </is>
      </c>
      <c r="P349" s="16" t="inlineStr"/>
    </row>
    <row r="350">
      <c r="A350" s="15" t="inlineStr">
        <is>
          <t>CS-0349</t>
        </is>
      </c>
      <c r="B350" s="15" t="inlineStr">
        <is>
          <t>TS-70</t>
        </is>
      </c>
      <c r="C350" s="15" t="inlineStr">
        <is>
          <t>TC-191</t>
        </is>
      </c>
      <c r="D350" s="15" t="inlineStr">
        <is>
          <t>PLT</t>
        </is>
      </c>
      <c r="E350" s="16" t="inlineStr">
        <is>
          <t>api errors: does not end the session when the login itself is rejected</t>
        </is>
      </c>
      <c r="F350" s="16" t="inlineStr">
        <is>
          <t>Developer / CI</t>
        </is>
      </c>
      <c r="G350" s="16" t="inlineStr">
        <is>
          <t>1. Run `npm test -w apps/web` (Vitest, Testing Library, jsdom)
2. Locate 'api errors does not end the session when the login itself is rejected' in the run output</t>
        </is>
      </c>
      <c r="H350" s="16" t="inlineStr">
        <is>
          <t>Fixtures defined in api/client.test.ts</t>
        </is>
      </c>
      <c r="I350" s="16" t="inlineStr">
        <is>
          <t>The test passes: api errors does not end the session when the login itself is rejected.</t>
        </is>
      </c>
      <c r="J350" s="15" t="inlineStr">
        <is>
          <t>Unit</t>
        </is>
      </c>
      <c r="K350" s="16" t="inlineStr">
        <is>
          <t>Automated – api/client.test.ts</t>
        </is>
      </c>
      <c r="L350" s="17" t="inlineStr">
        <is>
          <t>Passed</t>
        </is>
      </c>
      <c r="M350" s="16" t="inlineStr">
        <is>
          <t>web-unit-tests.json: 'api errors does not end the session when the login itself is rejected' passed (2 Oct 2026 14:56 UTC); test-reruns.json: passed (2 Oct 2026 21:45 UTC)</t>
        </is>
      </c>
      <c r="N350" s="16" t="inlineStr">
        <is>
          <t>2 Oct 2026 21:45 UTC</t>
        </is>
      </c>
      <c r="O350" s="16" t="inlineStr">
        <is>
          <t>iorta QA (Vitest)</t>
        </is>
      </c>
      <c r="P350" s="16" t="inlineStr"/>
    </row>
    <row r="351">
      <c r="A351" s="15" t="inlineStr">
        <is>
          <t>CS-0350</t>
        </is>
      </c>
      <c r="B351" s="15" t="inlineStr">
        <is>
          <t>TS-70</t>
        </is>
      </c>
      <c r="C351" s="15" t="inlineStr">
        <is>
          <t>TC-191</t>
        </is>
      </c>
      <c r="D351" s="15" t="inlineStr">
        <is>
          <t>PLT</t>
        </is>
      </c>
      <c r="E351" s="16" t="inlineStr">
        <is>
          <t>api errors: notifies session-ended listeners on 401</t>
        </is>
      </c>
      <c r="F351" s="16" t="inlineStr">
        <is>
          <t>Developer / CI</t>
        </is>
      </c>
      <c r="G351" s="16" t="inlineStr">
        <is>
          <t>1. Run `npm test -w apps/web` (Vitest, Testing Library, jsdom)
2. Locate 'api errors notifies session-ended listeners on 401' in the run output</t>
        </is>
      </c>
      <c r="H351" s="16" t="inlineStr">
        <is>
          <t>Fixtures defined in api/client.test.ts</t>
        </is>
      </c>
      <c r="I351" s="16" t="inlineStr">
        <is>
          <t>The test passes: api errors notifies session-ended listeners on 401.</t>
        </is>
      </c>
      <c r="J351" s="15" t="inlineStr">
        <is>
          <t>Unit</t>
        </is>
      </c>
      <c r="K351" s="16" t="inlineStr">
        <is>
          <t>Automated – api/client.test.ts</t>
        </is>
      </c>
      <c r="L351" s="17" t="inlineStr">
        <is>
          <t>Passed</t>
        </is>
      </c>
      <c r="M351" s="16" t="inlineStr">
        <is>
          <t>web-unit-tests.json: 'api errors notifies session-ended listeners on 401' passed (2 Oct 2026 14:56 UTC); test-reruns.json: passed (2 Oct 2026 21:45 UTC)</t>
        </is>
      </c>
      <c r="N351" s="16" t="inlineStr">
        <is>
          <t>2 Oct 2026 21:45 UTC</t>
        </is>
      </c>
      <c r="O351" s="16" t="inlineStr">
        <is>
          <t>iorta QA (Vitest)</t>
        </is>
      </c>
      <c r="P351" s="16" t="inlineStr"/>
    </row>
    <row r="352">
      <c r="A352" s="15" t="inlineStr">
        <is>
          <t>CS-0351</t>
        </is>
      </c>
      <c r="B352" s="15" t="inlineStr">
        <is>
          <t>TS-70</t>
        </is>
      </c>
      <c r="C352" s="15" t="inlineStr">
        <is>
          <t>TC-191</t>
        </is>
      </c>
      <c r="D352" s="15" t="inlineStr">
        <is>
          <t>PLT</t>
        </is>
      </c>
      <c r="E352" s="16" t="inlineStr">
        <is>
          <t>api errors: stops notifying a listener after it unsubscribes</t>
        </is>
      </c>
      <c r="F352" s="16" t="inlineStr">
        <is>
          <t>Developer / CI</t>
        </is>
      </c>
      <c r="G352" s="16" t="inlineStr">
        <is>
          <t>1. Run `npm test -w apps/web` (Vitest, Testing Library, jsdom)
2. Locate 'api errors stops notifying a listener after it unsubscribes' in the run output</t>
        </is>
      </c>
      <c r="H352" s="16" t="inlineStr">
        <is>
          <t>Fixtures defined in api/client.test.ts</t>
        </is>
      </c>
      <c r="I352" s="16" t="inlineStr">
        <is>
          <t>The test passes: api errors stops notifying a listener after it unsubscribes.</t>
        </is>
      </c>
      <c r="J352" s="15" t="inlineStr">
        <is>
          <t>Unit</t>
        </is>
      </c>
      <c r="K352" s="16" t="inlineStr">
        <is>
          <t>Automated – api/client.test.ts</t>
        </is>
      </c>
      <c r="L352" s="17" t="inlineStr">
        <is>
          <t>Passed</t>
        </is>
      </c>
      <c r="M352" s="16" t="inlineStr">
        <is>
          <t>web-unit-tests.json: 'api errors stops notifying a listener after it unsubscribes' passed (2 Oct 2026 14:56 UTC); test-reruns.json: passed (2 Oct 2026 21:45 UTC)</t>
        </is>
      </c>
      <c r="N352" s="16" t="inlineStr">
        <is>
          <t>2 Oct 2026 21:45 UTC</t>
        </is>
      </c>
      <c r="O352" s="16" t="inlineStr">
        <is>
          <t>iorta QA (Vitest)</t>
        </is>
      </c>
      <c r="P352" s="16" t="inlineStr"/>
    </row>
    <row r="353">
      <c r="A353" s="15" t="inlineStr">
        <is>
          <t>CS-0352</t>
        </is>
      </c>
      <c r="B353" s="15" t="inlineStr">
        <is>
          <t>TS-70</t>
        </is>
      </c>
      <c r="C353" s="15" t="inlineStr">
        <is>
          <t>TC-191</t>
        </is>
      </c>
      <c r="D353" s="15" t="inlineStr">
        <is>
          <t>PLT</t>
        </is>
      </c>
      <c r="E353" s="16" t="inlineStr">
        <is>
          <t>api errors: turns an error response into an ApiError with details and correlation id</t>
        </is>
      </c>
      <c r="F353" s="16" t="inlineStr">
        <is>
          <t>Developer / CI</t>
        </is>
      </c>
      <c r="G353" s="16" t="inlineStr">
        <is>
          <t>1. Run `npm test -w apps/web` (Vitest, Testing Library, jsdom)
2. Locate 'api errors turns an error response into an ApiError with details and correlation id' in the run output</t>
        </is>
      </c>
      <c r="H353" s="16" t="inlineStr">
        <is>
          <t>Fixtures defined in api/client.test.ts</t>
        </is>
      </c>
      <c r="I353" s="16" t="inlineStr">
        <is>
          <t>The test passes: api errors turns an error response into an ApiError with details and correlation id.</t>
        </is>
      </c>
      <c r="J353" s="15" t="inlineStr">
        <is>
          <t>Unit</t>
        </is>
      </c>
      <c r="K353" s="16" t="inlineStr">
        <is>
          <t>Automated – api/client.test.ts</t>
        </is>
      </c>
      <c r="L353" s="17" t="inlineStr">
        <is>
          <t>Passed</t>
        </is>
      </c>
      <c r="M353" s="16" t="inlineStr">
        <is>
          <t>web-unit-tests.json: 'api errors turns an error response into an ApiError with details and correlation id' passed (2 Oct 2026 14:56 UTC); test-reruns.json: passed (2 Oct 2026 21:45 UTC)</t>
        </is>
      </c>
      <c r="N353" s="16" t="inlineStr">
        <is>
          <t>2 Oct 2026 21:45 UTC</t>
        </is>
      </c>
      <c r="O353" s="16" t="inlineStr">
        <is>
          <t>iorta QA (Vitest)</t>
        </is>
      </c>
      <c r="P353" s="16" t="inlineStr"/>
    </row>
    <row r="354">
      <c r="A354" s="15" t="inlineStr">
        <is>
          <t>CS-0353</t>
        </is>
      </c>
      <c r="B354" s="15" t="inlineStr">
        <is>
          <t>TS-70</t>
        </is>
      </c>
      <c r="C354" s="15" t="inlineStr">
        <is>
          <t>TC-191</t>
        </is>
      </c>
      <c r="D354" s="15" t="inlineStr">
        <is>
          <t>PLT</t>
        </is>
      </c>
      <c r="E354" s="16" t="inlineStr">
        <is>
          <t>api errors: uses a generic error when the response body is not JSON</t>
        </is>
      </c>
      <c r="F354" s="16" t="inlineStr">
        <is>
          <t>Developer / CI</t>
        </is>
      </c>
      <c r="G354" s="16" t="inlineStr">
        <is>
          <t>1. Run `npm test -w apps/web` (Vitest, Testing Library, jsdom)
2. Locate 'api errors uses a generic error when the response body is not JSON' in the run output</t>
        </is>
      </c>
      <c r="H354" s="16" t="inlineStr">
        <is>
          <t>Fixtures defined in api/client.test.ts</t>
        </is>
      </c>
      <c r="I354" s="16" t="inlineStr">
        <is>
          <t>The test passes: api errors uses a generic error when the response body is not JSON.</t>
        </is>
      </c>
      <c r="J354" s="15" t="inlineStr">
        <is>
          <t>Unit</t>
        </is>
      </c>
      <c r="K354" s="16" t="inlineStr">
        <is>
          <t>Automated – api/client.test.ts</t>
        </is>
      </c>
      <c r="L354" s="17" t="inlineStr">
        <is>
          <t>Passed</t>
        </is>
      </c>
      <c r="M354" s="16" t="inlineStr">
        <is>
          <t>web-unit-tests.json: 'api errors uses a generic error when the response body is not JSON' passed (2 Oct 2026 14:56 UTC); test-reruns.json: passed (2 Oct 2026 21:45 UTC)</t>
        </is>
      </c>
      <c r="N354" s="16" t="inlineStr">
        <is>
          <t>2 Oct 2026 21:45 UTC</t>
        </is>
      </c>
      <c r="O354" s="16" t="inlineStr">
        <is>
          <t>iorta QA (Vitest)</t>
        </is>
      </c>
      <c r="P354" s="16" t="inlineStr"/>
    </row>
    <row r="355">
      <c r="A355" s="15" t="inlineStr">
        <is>
          <t>CS-0354</t>
        </is>
      </c>
      <c r="B355" s="15" t="inlineStr">
        <is>
          <t>TS-70</t>
        </is>
      </c>
      <c r="C355" s="15" t="inlineStr">
        <is>
          <t>TC-191</t>
        </is>
      </c>
      <c r="D355" s="15" t="inlineStr">
        <is>
          <t>PLT</t>
        </is>
      </c>
      <c r="E355" s="16" t="inlineStr">
        <is>
          <t>api requests: does not send the CSRF token on GET requests</t>
        </is>
      </c>
      <c r="F355" s="16" t="inlineStr">
        <is>
          <t>Developer / CI</t>
        </is>
      </c>
      <c r="G355" s="16" t="inlineStr">
        <is>
          <t>1. Run `npm test -w apps/web` (Vitest, Testing Library, jsdom)
2. Locate 'api requests does not send the CSRF token on GET requests' in the run output</t>
        </is>
      </c>
      <c r="H355" s="16" t="inlineStr">
        <is>
          <t>Fixtures defined in api/client.test.ts</t>
        </is>
      </c>
      <c r="I355" s="16" t="inlineStr">
        <is>
          <t>The test passes: api requests does not send the CSRF token on GET requests.</t>
        </is>
      </c>
      <c r="J355" s="15" t="inlineStr">
        <is>
          <t>Unit</t>
        </is>
      </c>
      <c r="K355" s="16" t="inlineStr">
        <is>
          <t>Automated – api/client.test.ts</t>
        </is>
      </c>
      <c r="L355" s="17" t="inlineStr">
        <is>
          <t>Passed</t>
        </is>
      </c>
      <c r="M355" s="16" t="inlineStr">
        <is>
          <t>web-unit-tests.json: 'api requests does not send the CSRF token on GET requests' passed (2 Oct 2026 14:56 UTC); test-reruns.json: passed (2 Oct 2026 21:45 UTC)</t>
        </is>
      </c>
      <c r="N355" s="16" t="inlineStr">
        <is>
          <t>2 Oct 2026 21:45 UTC</t>
        </is>
      </c>
      <c r="O355" s="16" t="inlineStr">
        <is>
          <t>iorta QA (Vitest)</t>
        </is>
      </c>
      <c r="P355" s="16" t="inlineStr"/>
    </row>
    <row r="356">
      <c r="A356" s="15" t="inlineStr">
        <is>
          <t>CS-0355</t>
        </is>
      </c>
      <c r="B356" s="15" t="inlineStr">
        <is>
          <t>TS-70</t>
        </is>
      </c>
      <c r="C356" s="15" t="inlineStr">
        <is>
          <t>TC-191</t>
        </is>
      </c>
      <c r="D356" s="15" t="inlineStr">
        <is>
          <t>PLT</t>
        </is>
      </c>
      <c r="E356" s="16" t="inlineStr">
        <is>
          <t>api requests: prefixes the API base path, drops empty query parameters and returns the JSON body</t>
        </is>
      </c>
      <c r="F356" s="16" t="inlineStr">
        <is>
          <t>Developer / CI</t>
        </is>
      </c>
      <c r="G356" s="16" t="inlineStr">
        <is>
          <t>1. Run `npm test -w apps/web` (Vitest, Testing Library, jsdom)
2. Locate 'api requests prefixes the API base path, drops empty query parameters and returns the JSON body' in the run output</t>
        </is>
      </c>
      <c r="H356" s="16" t="inlineStr">
        <is>
          <t>Fixtures defined in api/client.test.ts</t>
        </is>
      </c>
      <c r="I356" s="16" t="inlineStr">
        <is>
          <t>The test passes: api requests prefixes the API base path, drops empty query parameters and returns the JSON body.</t>
        </is>
      </c>
      <c r="J356" s="15" t="inlineStr">
        <is>
          <t>Unit</t>
        </is>
      </c>
      <c r="K356" s="16" t="inlineStr">
        <is>
          <t>Automated – api/client.test.ts</t>
        </is>
      </c>
      <c r="L356" s="17" t="inlineStr">
        <is>
          <t>Passed</t>
        </is>
      </c>
      <c r="M356" s="16" t="inlineStr">
        <is>
          <t>web-unit-tests.json: 'api requests prefixes the API base path, drops empty query parameters and returns the JSON body' passed (2 Oct 2026 14:56 UTC); test-reruns.json: passed (2 Oct 2026 21:45 UTC)</t>
        </is>
      </c>
      <c r="N356" s="16" t="inlineStr">
        <is>
          <t>2 Oct 2026 21:45 UTC</t>
        </is>
      </c>
      <c r="O356" s="16" t="inlineStr">
        <is>
          <t>iorta QA (Vitest)</t>
        </is>
      </c>
      <c r="P356" s="16" t="inlineStr"/>
    </row>
    <row r="357">
      <c r="A357" s="15" t="inlineStr">
        <is>
          <t>CS-0356</t>
        </is>
      </c>
      <c r="B357" s="15" t="inlineStr">
        <is>
          <t>TS-70</t>
        </is>
      </c>
      <c r="C357" s="15" t="inlineStr">
        <is>
          <t>TC-191</t>
        </is>
      </c>
      <c r="D357" s="15" t="inlineStr">
        <is>
          <t>PLT</t>
        </is>
      </c>
      <c r="E357" s="16" t="inlineStr">
        <is>
          <t>api requests: resolves to undefined for 204 No Content</t>
        </is>
      </c>
      <c r="F357" s="16" t="inlineStr">
        <is>
          <t>Developer / CI</t>
        </is>
      </c>
      <c r="G357" s="16" t="inlineStr">
        <is>
          <t>1. Run `npm test -w apps/web` (Vitest, Testing Library, jsdom)
2. Locate 'api requests resolves to undefined for 204 No Content' in the run output</t>
        </is>
      </c>
      <c r="H357" s="16" t="inlineStr">
        <is>
          <t>Fixtures defined in api/client.test.ts</t>
        </is>
      </c>
      <c r="I357" s="16" t="inlineStr">
        <is>
          <t>The test passes: api requests resolves to undefined for 204 No Content.</t>
        </is>
      </c>
      <c r="J357" s="15" t="inlineStr">
        <is>
          <t>Unit</t>
        </is>
      </c>
      <c r="K357" s="16" t="inlineStr">
        <is>
          <t>Automated – api/client.test.ts</t>
        </is>
      </c>
      <c r="L357" s="17" t="inlineStr">
        <is>
          <t>Passed</t>
        </is>
      </c>
      <c r="M357" s="16" t="inlineStr">
        <is>
          <t>web-unit-tests.json: 'api requests resolves to undefined for 204 No Content' passed (2 Oct 2026 14:56 UTC); test-reruns.json: passed (2 Oct 2026 21:45 UTC)</t>
        </is>
      </c>
      <c r="N357" s="16" t="inlineStr">
        <is>
          <t>2 Oct 2026 21:45 UTC</t>
        </is>
      </c>
      <c r="O357" s="16" t="inlineStr">
        <is>
          <t>iorta QA (Vitest)</t>
        </is>
      </c>
      <c r="P357" s="16" t="inlineStr"/>
    </row>
    <row r="358">
      <c r="A358" s="15" t="inlineStr">
        <is>
          <t>CS-0357</t>
        </is>
      </c>
      <c r="B358" s="15" t="inlineStr">
        <is>
          <t>TS-70</t>
        </is>
      </c>
      <c r="C358" s="15" t="inlineStr">
        <is>
          <t>TC-191</t>
        </is>
      </c>
      <c r="D358" s="15" t="inlineStr">
        <is>
          <t>PLT</t>
        </is>
      </c>
      <c r="E358" s="16" t="inlineStr">
        <is>
          <t>api requests: sends the CSRF token and a JSON body on state-changing requests</t>
        </is>
      </c>
      <c r="F358" s="16" t="inlineStr">
        <is>
          <t>Developer / CI</t>
        </is>
      </c>
      <c r="G358" s="16" t="inlineStr">
        <is>
          <t>1. Run `npm test -w apps/web` (Vitest, Testing Library, jsdom)
2. Locate 'api requests sends the CSRF token and a JSON body on state-changing requests' in the run output</t>
        </is>
      </c>
      <c r="H358" s="16" t="inlineStr">
        <is>
          <t>Fixtures defined in api/client.test.ts</t>
        </is>
      </c>
      <c r="I358" s="16" t="inlineStr">
        <is>
          <t>The test passes: api requests sends the CSRF token and a JSON body on state-changing requests.</t>
        </is>
      </c>
      <c r="J358" s="15" t="inlineStr">
        <is>
          <t>Unit</t>
        </is>
      </c>
      <c r="K358" s="16" t="inlineStr">
        <is>
          <t>Automated – api/client.test.ts</t>
        </is>
      </c>
      <c r="L358" s="17" t="inlineStr">
        <is>
          <t>Passed</t>
        </is>
      </c>
      <c r="M358" s="16" t="inlineStr">
        <is>
          <t>web-unit-tests.json: 'api requests sends the CSRF token and a JSON body on state-changing requests' passed (2 Oct 2026 14:56 UTC); test-reruns.json: passed (2 Oct 2026 21:45 UTC)</t>
        </is>
      </c>
      <c r="N358" s="16" t="inlineStr">
        <is>
          <t>2 Oct 2026 21:45 UTC</t>
        </is>
      </c>
      <c r="O358" s="16" t="inlineStr">
        <is>
          <t>iorta QA (Vitest)</t>
        </is>
      </c>
      <c r="P358" s="16" t="inlineStr"/>
    </row>
    <row r="359">
      <c r="A359" s="15" t="inlineStr">
        <is>
          <t>CS-0358</t>
        </is>
      </c>
      <c r="B359" s="15" t="inlineStr">
        <is>
          <t>TS-70</t>
        </is>
      </c>
      <c r="C359" s="15" t="inlineStr">
        <is>
          <t>TC-191</t>
        </is>
      </c>
      <c r="D359" s="15" t="inlineStr">
        <is>
          <t>PLT</t>
        </is>
      </c>
      <c r="E359" s="16" t="inlineStr">
        <is>
          <t>api requests: sends uploads as form data without a JSON content type</t>
        </is>
      </c>
      <c r="F359" s="16" t="inlineStr">
        <is>
          <t>Developer / CI</t>
        </is>
      </c>
      <c r="G359" s="16" t="inlineStr">
        <is>
          <t>1. Run `npm test -w apps/web` (Vitest, Testing Library, jsdom)
2. Locate 'api requests sends uploads as form data without a JSON content type' in the run output</t>
        </is>
      </c>
      <c r="H359" s="16" t="inlineStr">
        <is>
          <t>Fixtures defined in api/client.test.ts</t>
        </is>
      </c>
      <c r="I359" s="16" t="inlineStr">
        <is>
          <t>The test passes: api requests sends uploads as form data without a JSON content type.</t>
        </is>
      </c>
      <c r="J359" s="15" t="inlineStr">
        <is>
          <t>Unit</t>
        </is>
      </c>
      <c r="K359" s="16" t="inlineStr">
        <is>
          <t>Automated – api/client.test.ts</t>
        </is>
      </c>
      <c r="L359" s="17" t="inlineStr">
        <is>
          <t>Passed</t>
        </is>
      </c>
      <c r="M359" s="16" t="inlineStr">
        <is>
          <t>web-unit-tests.json: 'api requests sends uploads as form data without a JSON content type' passed (2 Oct 2026 14:56 UTC); test-reruns.json: passed (2 Oct 2026 21:45 UTC)</t>
        </is>
      </c>
      <c r="N359" s="16" t="inlineStr">
        <is>
          <t>2 Oct 2026 21:45 UTC</t>
        </is>
      </c>
      <c r="O359" s="16" t="inlineStr">
        <is>
          <t>iorta QA (Vitest)</t>
        </is>
      </c>
      <c r="P359" s="16" t="inlineStr"/>
    </row>
    <row r="360">
      <c r="A360" s="15" t="inlineStr">
        <is>
          <t>CS-0359</t>
        </is>
      </c>
      <c r="B360" s="15" t="inlineStr">
        <is>
          <t>TS-70</t>
        </is>
      </c>
      <c r="C360" s="15" t="inlineStr">
        <is>
          <t>TC-191</t>
        </is>
      </c>
      <c r="D360" s="15" t="inlineStr">
        <is>
          <t>PLT</t>
        </is>
      </c>
      <c r="E360" s="16" t="inlineStr">
        <is>
          <t>download: raises an ApiError when the file cannot be downloaded</t>
        </is>
      </c>
      <c r="F360" s="16" t="inlineStr">
        <is>
          <t>Developer / CI</t>
        </is>
      </c>
      <c r="G360" s="16" t="inlineStr">
        <is>
          <t>1. Run `npm test -w apps/web` (Vitest, Testing Library, jsdom)
2. Locate 'download raises an ApiError when the file cannot be downloaded' in the run output</t>
        </is>
      </c>
      <c r="H360" s="16" t="inlineStr">
        <is>
          <t>Fixtures defined in api/client.test.ts</t>
        </is>
      </c>
      <c r="I360" s="16" t="inlineStr">
        <is>
          <t>The test passes: download raises an ApiError when the file cannot be downloaded.</t>
        </is>
      </c>
      <c r="J360" s="15" t="inlineStr">
        <is>
          <t>Unit</t>
        </is>
      </c>
      <c r="K360" s="16" t="inlineStr">
        <is>
          <t>Automated – api/client.test.ts</t>
        </is>
      </c>
      <c r="L360" s="17" t="inlineStr">
        <is>
          <t>Passed</t>
        </is>
      </c>
      <c r="M360" s="16" t="inlineStr">
        <is>
          <t>web-unit-tests.json: 'download raises an ApiError when the file cannot be downloaded' passed (2 Oct 2026 14:56 UTC); test-reruns.json: passed (2 Oct 2026 21:45 UTC)</t>
        </is>
      </c>
      <c r="N360" s="16" t="inlineStr">
        <is>
          <t>2 Oct 2026 21:45 UTC</t>
        </is>
      </c>
      <c r="O360" s="16" t="inlineStr">
        <is>
          <t>iorta QA (Vitest)</t>
        </is>
      </c>
      <c r="P360" s="16" t="inlineStr"/>
    </row>
    <row r="361">
      <c r="A361" s="15" t="inlineStr">
        <is>
          <t>CS-0360</t>
        </is>
      </c>
      <c r="B361" s="15" t="inlineStr">
        <is>
          <t>TS-70</t>
        </is>
      </c>
      <c r="C361" s="15" t="inlineStr">
        <is>
          <t>TC-192</t>
        </is>
      </c>
      <c r="D361" s="15" t="inlineStr">
        <is>
          <t>PLT</t>
        </is>
      </c>
      <c r="E361" s="16" t="inlineStr">
        <is>
          <t>ErrorAlert: falls back to a generic message for unexpected errors</t>
        </is>
      </c>
      <c r="F361" s="16" t="inlineStr">
        <is>
          <t>Developer / CI</t>
        </is>
      </c>
      <c r="G361" s="16" t="inlineStr">
        <is>
          <t>1. Run `npm test -w apps/web` (Vitest, Testing Library, jsdom)
2. Locate 'ErrorAlert falls back to a generic message for unexpected errors' in the run output</t>
        </is>
      </c>
      <c r="H361" s="16" t="inlineStr">
        <is>
          <t>Fixtures defined in components/ErrorAlert.test.tsx</t>
        </is>
      </c>
      <c r="I361" s="16" t="inlineStr">
        <is>
          <t>The test passes: ErrorAlert falls back to a generic message for unexpected errors.</t>
        </is>
      </c>
      <c r="J361" s="15" t="inlineStr">
        <is>
          <t>Unit</t>
        </is>
      </c>
      <c r="K361" s="16" t="inlineStr">
        <is>
          <t>Automated – components/ErrorAlert.test.tsx</t>
        </is>
      </c>
      <c r="L361" s="17" t="inlineStr">
        <is>
          <t>Passed</t>
        </is>
      </c>
      <c r="M361" s="16" t="inlineStr">
        <is>
          <t>web-unit-tests.json: 'ErrorAlert falls back to a generic message for unexpected errors' passed (2 Oct 2026 14:56 UTC); test-reruns.json: passed (2 Oct 2026 21:45 UTC)</t>
        </is>
      </c>
      <c r="N361" s="16" t="inlineStr">
        <is>
          <t>2 Oct 2026 21:45 UTC</t>
        </is>
      </c>
      <c r="O361" s="16" t="inlineStr">
        <is>
          <t>iorta QA (Vitest)</t>
        </is>
      </c>
      <c r="P361" s="16" t="inlineStr"/>
    </row>
    <row r="362">
      <c r="A362" s="15" t="inlineStr">
        <is>
          <t>CS-0361</t>
        </is>
      </c>
      <c r="B362" s="15" t="inlineStr">
        <is>
          <t>TS-70</t>
        </is>
      </c>
      <c r="C362" s="15" t="inlineStr">
        <is>
          <t>TC-192</t>
        </is>
      </c>
      <c r="D362" s="15" t="inlineStr">
        <is>
          <t>PLT</t>
        </is>
      </c>
      <c r="E362" s="16" t="inlineStr">
        <is>
          <t>ErrorAlert: renders nothing when there is no error</t>
        </is>
      </c>
      <c r="F362" s="16" t="inlineStr">
        <is>
          <t>Developer / CI</t>
        </is>
      </c>
      <c r="G362" s="16" t="inlineStr">
        <is>
          <t>1. Run `npm test -w apps/web` (Vitest, Testing Library, jsdom)
2. Locate 'ErrorAlert renders nothing when there is no error' in the run output</t>
        </is>
      </c>
      <c r="H362" s="16" t="inlineStr">
        <is>
          <t>Fixtures defined in components/ErrorAlert.test.tsx</t>
        </is>
      </c>
      <c r="I362" s="16" t="inlineStr">
        <is>
          <t>The test passes: ErrorAlert renders nothing when there is no error.</t>
        </is>
      </c>
      <c r="J362" s="15" t="inlineStr">
        <is>
          <t>Unit</t>
        </is>
      </c>
      <c r="K362" s="16" t="inlineStr">
        <is>
          <t>Automated – components/ErrorAlert.test.tsx</t>
        </is>
      </c>
      <c r="L362" s="17" t="inlineStr">
        <is>
          <t>Passed</t>
        </is>
      </c>
      <c r="M362" s="16" t="inlineStr">
        <is>
          <t>web-unit-tests.json: 'ErrorAlert renders nothing when there is no error' passed (2 Oct 2026 14:56 UTC); test-reruns.json: passed (2 Oct 2026 21:45 UTC)</t>
        </is>
      </c>
      <c r="N362" s="16" t="inlineStr">
        <is>
          <t>2 Oct 2026 21:45 UTC</t>
        </is>
      </c>
      <c r="O362" s="16" t="inlineStr">
        <is>
          <t>iorta QA (Vitest)</t>
        </is>
      </c>
      <c r="P362" s="16" t="inlineStr"/>
    </row>
    <row r="363">
      <c r="A363" s="15" t="inlineStr">
        <is>
          <t>CS-0362</t>
        </is>
      </c>
      <c r="B363" s="15" t="inlineStr">
        <is>
          <t>TS-70</t>
        </is>
      </c>
      <c r="C363" s="15" t="inlineStr">
        <is>
          <t>TC-192</t>
        </is>
      </c>
      <c r="D363" s="15" t="inlineStr">
        <is>
          <t>PLT</t>
        </is>
      </c>
      <c r="E363" s="16" t="inlineStr">
        <is>
          <t>ErrorAlert: shows the API message and each validation detail</t>
        </is>
      </c>
      <c r="F363" s="16" t="inlineStr">
        <is>
          <t>Developer / CI</t>
        </is>
      </c>
      <c r="G363" s="16" t="inlineStr">
        <is>
          <t>1. Run `npm test -w apps/web` (Vitest, Testing Library, jsdom)
2. Locate 'ErrorAlert shows the API message and each validation detail' in the run output</t>
        </is>
      </c>
      <c r="H363" s="16" t="inlineStr">
        <is>
          <t>Fixtures defined in components/ErrorAlert.test.tsx</t>
        </is>
      </c>
      <c r="I363" s="16" t="inlineStr">
        <is>
          <t>The test passes: ErrorAlert shows the API message and each validation detail.</t>
        </is>
      </c>
      <c r="J363" s="15" t="inlineStr">
        <is>
          <t>Unit</t>
        </is>
      </c>
      <c r="K363" s="16" t="inlineStr">
        <is>
          <t>Automated – components/ErrorAlert.test.tsx</t>
        </is>
      </c>
      <c r="L363" s="17" t="inlineStr">
        <is>
          <t>Passed</t>
        </is>
      </c>
      <c r="M363" s="16" t="inlineStr">
        <is>
          <t>web-unit-tests.json: 'ErrorAlert shows the API message and each validation detail' passed (2 Oct 2026 14:56 UTC); test-reruns.json: passed (2 Oct 2026 21:45 UTC)</t>
        </is>
      </c>
      <c r="N363" s="16" t="inlineStr">
        <is>
          <t>2 Oct 2026 21:45 UTC</t>
        </is>
      </c>
      <c r="O363" s="16" t="inlineStr">
        <is>
          <t>iorta QA (Vitest)</t>
        </is>
      </c>
      <c r="P363" s="16" t="inlineStr"/>
    </row>
    <row r="364">
      <c r="A364" s="15" t="inlineStr">
        <is>
          <t>CS-0363</t>
        </is>
      </c>
      <c r="B364" s="15" t="inlineStr">
        <is>
          <t>TS-70</t>
        </is>
      </c>
      <c r="C364" s="15" t="inlineStr">
        <is>
          <t>TC-192</t>
        </is>
      </c>
      <c r="D364" s="15" t="inlineStr">
        <is>
          <t>PLT</t>
        </is>
      </c>
      <c r="E364" s="16" t="inlineStr">
        <is>
          <t>ErrorAlert: shows the support reference for server errors only</t>
        </is>
      </c>
      <c r="F364" s="16" t="inlineStr">
        <is>
          <t>Developer / CI</t>
        </is>
      </c>
      <c r="G364" s="16" t="inlineStr">
        <is>
          <t>1. Run `npm test -w apps/web` (Vitest, Testing Library, jsdom)
2. Locate 'ErrorAlert shows the support reference for server errors only' in the run output</t>
        </is>
      </c>
      <c r="H364" s="16" t="inlineStr">
        <is>
          <t>Fixtures defined in components/ErrorAlert.test.tsx</t>
        </is>
      </c>
      <c r="I364" s="16" t="inlineStr">
        <is>
          <t>The test passes: ErrorAlert shows the support reference for server errors only.</t>
        </is>
      </c>
      <c r="J364" s="15" t="inlineStr">
        <is>
          <t>Unit</t>
        </is>
      </c>
      <c r="K364" s="16" t="inlineStr">
        <is>
          <t>Automated – components/ErrorAlert.test.tsx</t>
        </is>
      </c>
      <c r="L364" s="17" t="inlineStr">
        <is>
          <t>Passed</t>
        </is>
      </c>
      <c r="M364" s="16" t="inlineStr">
        <is>
          <t>web-unit-tests.json: 'ErrorAlert shows the support reference for server errors only' passed (2 Oct 2026 14:56 UTC); test-reruns.json: passed (2 Oct 2026 21:45 UTC)</t>
        </is>
      </c>
      <c r="N364" s="16" t="inlineStr">
        <is>
          <t>2 Oct 2026 21:45 UTC</t>
        </is>
      </c>
      <c r="O364" s="16" t="inlineStr">
        <is>
          <t>iorta QA (Vitest)</t>
        </is>
      </c>
      <c r="P364" s="16" t="inlineStr"/>
    </row>
    <row r="365">
      <c r="A365" s="15" t="inlineStr">
        <is>
          <t>CS-0364</t>
        </is>
      </c>
      <c r="B365" s="15" t="inlineStr">
        <is>
          <t>TS-70</t>
        </is>
      </c>
      <c r="C365" s="15" t="inlineStr">
        <is>
          <t>TC-193</t>
        </is>
      </c>
      <c r="D365" s="15" t="inlineStr">
        <is>
          <t>PLT</t>
        </is>
      </c>
      <c r="E365" s="16" t="inlineStr">
        <is>
          <t>Money: can be emphasised</t>
        </is>
      </c>
      <c r="F365" s="16" t="inlineStr">
        <is>
          <t>Developer / CI</t>
        </is>
      </c>
      <c r="G365" s="16" t="inlineStr">
        <is>
          <t>1. Run `npm test -w apps/web` (Vitest, Testing Library, jsdom)
2. Locate 'Money can be emphasised' in the run output</t>
        </is>
      </c>
      <c r="H365" s="16" t="inlineStr">
        <is>
          <t>Fixtures defined in components/Money.test.tsx</t>
        </is>
      </c>
      <c r="I365" s="16" t="inlineStr">
        <is>
          <t>The test passes: Money can be emphasised.</t>
        </is>
      </c>
      <c r="J365" s="15" t="inlineStr">
        <is>
          <t>Unit</t>
        </is>
      </c>
      <c r="K365" s="16" t="inlineStr">
        <is>
          <t>Automated – components/Money.test.tsx</t>
        </is>
      </c>
      <c r="L365" s="17" t="inlineStr">
        <is>
          <t>Passed</t>
        </is>
      </c>
      <c r="M365" s="16" t="inlineStr">
        <is>
          <t>web-unit-tests.json: 'Money can be emphasised' passed (2 Oct 2026 14:56 UTC); test-reruns.json: passed (2 Oct 2026 21:45 UTC)</t>
        </is>
      </c>
      <c r="N365" s="16" t="inlineStr">
        <is>
          <t>2 Oct 2026 21:45 UTC</t>
        </is>
      </c>
      <c r="O365" s="16" t="inlineStr">
        <is>
          <t>iorta QA (Vitest)</t>
        </is>
      </c>
      <c r="P365" s="16" t="inlineStr"/>
    </row>
    <row r="366">
      <c r="A366" s="15" t="inlineStr">
        <is>
          <t>CS-0365</t>
        </is>
      </c>
      <c r="B366" s="15" t="inlineStr">
        <is>
          <t>TS-70</t>
        </is>
      </c>
      <c r="C366" s="15" t="inlineStr">
        <is>
          <t>TC-193</t>
        </is>
      </c>
      <c r="D366" s="15" t="inlineStr">
        <is>
          <t>PLT</t>
        </is>
      </c>
      <c r="E366" s="16" t="inlineStr">
        <is>
          <t>Money: shows the formatted amount</t>
        </is>
      </c>
      <c r="F366" s="16" t="inlineStr">
        <is>
          <t>Developer / CI</t>
        </is>
      </c>
      <c r="G366" s="16" t="inlineStr">
        <is>
          <t>1. Run `npm test -w apps/web` (Vitest, Testing Library, jsdom)
2. Locate 'Money shows the formatted amount' in the run output</t>
        </is>
      </c>
      <c r="H366" s="16" t="inlineStr">
        <is>
          <t>Fixtures defined in components/Money.test.tsx</t>
        </is>
      </c>
      <c r="I366" s="16" t="inlineStr">
        <is>
          <t>The test passes: Money shows the formatted amount.</t>
        </is>
      </c>
      <c r="J366" s="15" t="inlineStr">
        <is>
          <t>Unit</t>
        </is>
      </c>
      <c r="K366" s="16" t="inlineStr">
        <is>
          <t>Automated – components/Money.test.tsx</t>
        </is>
      </c>
      <c r="L366" s="17" t="inlineStr">
        <is>
          <t>Passed</t>
        </is>
      </c>
      <c r="M366" s="16" t="inlineStr">
        <is>
          <t>web-unit-tests.json: 'Money shows the formatted amount' passed (2 Oct 2026 14:56 UTC); test-reruns.json: passed (2 Oct 2026 21:45 UTC)</t>
        </is>
      </c>
      <c r="N366" s="16" t="inlineStr">
        <is>
          <t>2 Oct 2026 21:45 UTC</t>
        </is>
      </c>
      <c r="O366" s="16" t="inlineStr">
        <is>
          <t>iorta QA (Vitest)</t>
        </is>
      </c>
      <c r="P366" s="16" t="inlineStr"/>
    </row>
    <row r="367">
      <c r="A367" s="15" t="inlineStr">
        <is>
          <t>CS-0366</t>
        </is>
      </c>
      <c r="B367" s="15" t="inlineStr">
        <is>
          <t>TS-70</t>
        </is>
      </c>
      <c r="C367" s="15" t="inlineStr">
        <is>
          <t>TC-193</t>
        </is>
      </c>
      <c r="D367" s="15" t="inlineStr">
        <is>
          <t>PLT</t>
        </is>
      </c>
      <c r="E367" s="16" t="inlineStr">
        <is>
          <t>fileSize: uses bytes, kilobytes or megabytes depending on size</t>
        </is>
      </c>
      <c r="F367" s="16" t="inlineStr">
        <is>
          <t>Developer / CI</t>
        </is>
      </c>
      <c r="G367" s="16" t="inlineStr">
        <is>
          <t>1. Run `npm test -w apps/web` (Vitest, Testing Library, jsdom)
2. Locate 'fileSize uses bytes, kilobytes or megabytes depending on size' in the run output</t>
        </is>
      </c>
      <c r="H367" s="16" t="inlineStr">
        <is>
          <t>Fixtures defined in utils/format.test.ts</t>
        </is>
      </c>
      <c r="I367" s="16" t="inlineStr">
        <is>
          <t>The test passes: fileSize uses bytes, kilobytes or megabytes depending on size.</t>
        </is>
      </c>
      <c r="J367" s="15" t="inlineStr">
        <is>
          <t>Unit</t>
        </is>
      </c>
      <c r="K367" s="16" t="inlineStr">
        <is>
          <t>Automated – utils/format.test.ts</t>
        </is>
      </c>
      <c r="L367" s="17" t="inlineStr">
        <is>
          <t>Passed</t>
        </is>
      </c>
      <c r="M367" s="16" t="inlineStr">
        <is>
          <t>web-unit-tests.json: 'fileSize uses bytes, kilobytes or megabytes depending on size' passed (2 Oct 2026 14:56 UTC); test-reruns.json: passed (2 Oct 2026 21:45 UTC)</t>
        </is>
      </c>
      <c r="N367" s="16" t="inlineStr">
        <is>
          <t>2 Oct 2026 21:45 UTC</t>
        </is>
      </c>
      <c r="O367" s="16" t="inlineStr">
        <is>
          <t>iorta QA (Vitest)</t>
        </is>
      </c>
      <c r="P367" s="16" t="inlineStr"/>
    </row>
    <row r="368">
      <c r="A368" s="15" t="inlineStr">
        <is>
          <t>CS-0367</t>
        </is>
      </c>
      <c r="B368" s="15" t="inlineStr">
        <is>
          <t>TS-70</t>
        </is>
      </c>
      <c r="C368" s="15" t="inlineStr">
        <is>
          <t>TC-193</t>
        </is>
      </c>
      <c r="D368" s="15" t="inlineStr">
        <is>
          <t>PLT</t>
        </is>
      </c>
      <c r="E368" s="16" t="inlineStr">
        <is>
          <t>formatDate and formatDateTime: formats a calendar date as day, short month and year</t>
        </is>
      </c>
      <c r="F368" s="16" t="inlineStr">
        <is>
          <t>Developer / CI</t>
        </is>
      </c>
      <c r="G368" s="16" t="inlineStr">
        <is>
          <t>1. Run `npm test -w apps/web` (Vitest, Testing Library, jsdom)
2. Locate 'formatDate and formatDateTime formats a calendar date as day, short month and year' in the run output</t>
        </is>
      </c>
      <c r="H368" s="16" t="inlineStr">
        <is>
          <t>Fixtures defined in utils/format.test.ts</t>
        </is>
      </c>
      <c r="I368" s="16" t="inlineStr">
        <is>
          <t>The test passes: formatDate and formatDateTime formats a calendar date as day, short month and year.</t>
        </is>
      </c>
      <c r="J368" s="15" t="inlineStr">
        <is>
          <t>Unit</t>
        </is>
      </c>
      <c r="K368" s="16" t="inlineStr">
        <is>
          <t>Automated – utils/format.test.ts</t>
        </is>
      </c>
      <c r="L368" s="17" t="inlineStr">
        <is>
          <t>Passed</t>
        </is>
      </c>
      <c r="M368" s="16" t="inlineStr">
        <is>
          <t>web-unit-tests.json: 'formatDate and formatDateTime formats a calendar date as day, short month and year' passed (2 Oct 2026 14:56 UTC); test-reruns.json: passed (2 Oct 2026 21:45 UTC)</t>
        </is>
      </c>
      <c r="N368" s="16" t="inlineStr">
        <is>
          <t>2 Oct 2026 21:45 UTC</t>
        </is>
      </c>
      <c r="O368" s="16" t="inlineStr">
        <is>
          <t>iorta QA (Vitest)</t>
        </is>
      </c>
      <c r="P368" s="16" t="inlineStr"/>
    </row>
    <row r="369">
      <c r="A369" s="15" t="inlineStr">
        <is>
          <t>CS-0368</t>
        </is>
      </c>
      <c r="B369" s="15" t="inlineStr">
        <is>
          <t>TS-70</t>
        </is>
      </c>
      <c r="C369" s="15" t="inlineStr">
        <is>
          <t>TC-193</t>
        </is>
      </c>
      <c r="D369" s="15" t="inlineStr">
        <is>
          <t>PLT</t>
        </is>
      </c>
      <c r="E369" s="16" t="inlineStr">
        <is>
          <t>formatDate and formatDateTime: formats a local timestamp with a 24-hour time</t>
        </is>
      </c>
      <c r="F369" s="16" t="inlineStr">
        <is>
          <t>Developer / CI</t>
        </is>
      </c>
      <c r="G369" s="16" t="inlineStr">
        <is>
          <t>1. Run `npm test -w apps/web` (Vitest, Testing Library, jsdom)
2. Locate 'formatDate and formatDateTime formats a local timestamp with a 24-hour time' in the run output</t>
        </is>
      </c>
      <c r="H369" s="16" t="inlineStr">
        <is>
          <t>Fixtures defined in utils/format.test.ts</t>
        </is>
      </c>
      <c r="I369" s="16" t="inlineStr">
        <is>
          <t>The test passes: formatDate and formatDateTime formats a local timestamp with a 24-hour time.</t>
        </is>
      </c>
      <c r="J369" s="15" t="inlineStr">
        <is>
          <t>Unit</t>
        </is>
      </c>
      <c r="K369" s="16" t="inlineStr">
        <is>
          <t>Automated – utils/format.test.ts</t>
        </is>
      </c>
      <c r="L369" s="17" t="inlineStr">
        <is>
          <t>Passed</t>
        </is>
      </c>
      <c r="M369" s="16" t="inlineStr">
        <is>
          <t>web-unit-tests.json: 'formatDate and formatDateTime formats a local timestamp with a 24-hour time' passed (2 Oct 2026 14:56 UTC); test-reruns.json: passed (2 Oct 2026 21:45 UTC)</t>
        </is>
      </c>
      <c r="N369" s="16" t="inlineStr">
        <is>
          <t>2 Oct 2026 21:45 UTC</t>
        </is>
      </c>
      <c r="O369" s="16" t="inlineStr">
        <is>
          <t>iorta QA (Vitest)</t>
        </is>
      </c>
      <c r="P369" s="16" t="inlineStr"/>
    </row>
    <row r="370">
      <c r="A370" s="15" t="inlineStr">
        <is>
          <t>CS-0369</t>
        </is>
      </c>
      <c r="B370" s="15" t="inlineStr">
        <is>
          <t>TS-70</t>
        </is>
      </c>
      <c r="C370" s="15" t="inlineStr">
        <is>
          <t>TC-193</t>
        </is>
      </c>
      <c r="D370" s="15" t="inlineStr">
        <is>
          <t>PLT</t>
        </is>
      </c>
      <c r="E370" s="16" t="inlineStr">
        <is>
          <t>formatDate and formatDateTime: shows a dash for missing dates</t>
        </is>
      </c>
      <c r="F370" s="16" t="inlineStr">
        <is>
          <t>Developer / CI</t>
        </is>
      </c>
      <c r="G370" s="16" t="inlineStr">
        <is>
          <t>1. Run `npm test -w apps/web` (Vitest, Testing Library, jsdom)
2. Locate 'formatDate and formatDateTime shows a dash for missing dates' in the run output</t>
        </is>
      </c>
      <c r="H370" s="16" t="inlineStr">
        <is>
          <t>Fixtures defined in utils/format.test.ts</t>
        </is>
      </c>
      <c r="I370" s="16" t="inlineStr">
        <is>
          <t>The test passes: formatDate and formatDateTime shows a dash for missing dates.</t>
        </is>
      </c>
      <c r="J370" s="15" t="inlineStr">
        <is>
          <t>Unit</t>
        </is>
      </c>
      <c r="K370" s="16" t="inlineStr">
        <is>
          <t>Automated – utils/format.test.ts</t>
        </is>
      </c>
      <c r="L370" s="17" t="inlineStr">
        <is>
          <t>Passed</t>
        </is>
      </c>
      <c r="M370" s="16" t="inlineStr">
        <is>
          <t>web-unit-tests.json: 'formatDate and formatDateTime shows a dash for missing dates' passed (2 Oct 2026 14:56 UTC); test-reruns.json: passed (2 Oct 2026 21:45 UTC)</t>
        </is>
      </c>
      <c r="N370" s="16" t="inlineStr">
        <is>
          <t>2 Oct 2026 21:45 UTC</t>
        </is>
      </c>
      <c r="O370" s="16" t="inlineStr">
        <is>
          <t>iorta QA (Vitest)</t>
        </is>
      </c>
      <c r="P370" s="16" t="inlineStr"/>
    </row>
    <row r="371">
      <c r="A371" s="15" t="inlineStr">
        <is>
          <t>CS-0370</t>
        </is>
      </c>
      <c r="B371" s="15" t="inlineStr">
        <is>
          <t>TS-70</t>
        </is>
      </c>
      <c r="C371" s="15" t="inlineStr">
        <is>
          <t>TC-193</t>
        </is>
      </c>
      <c r="D371" s="15" t="inlineStr">
        <is>
          <t>PLT</t>
        </is>
      </c>
      <c r="E371" s="16" t="inlineStr">
        <is>
          <t>formatMoney: formats amounts in Brunei dollars with two decimals and thousands separators</t>
        </is>
      </c>
      <c r="F371" s="16" t="inlineStr">
        <is>
          <t>Developer / CI</t>
        </is>
      </c>
      <c r="G371" s="16" t="inlineStr">
        <is>
          <t>1. Run `npm test -w apps/web` (Vitest, Testing Library, jsdom)
2. Locate 'formatMoney formats amounts in Brunei dollars with two decimals and thousands separators' in the run output</t>
        </is>
      </c>
      <c r="H371" s="16" t="inlineStr">
        <is>
          <t>Fixtures defined in utils/format.test.ts</t>
        </is>
      </c>
      <c r="I371" s="16" t="inlineStr">
        <is>
          <t>The test passes: formatMoney formats amounts in Brunei dollars with two decimals and thousands separators.</t>
        </is>
      </c>
      <c r="J371" s="15" t="inlineStr">
        <is>
          <t>Unit</t>
        </is>
      </c>
      <c r="K371" s="16" t="inlineStr">
        <is>
          <t>Automated – utils/format.test.ts</t>
        </is>
      </c>
      <c r="L371" s="17" t="inlineStr">
        <is>
          <t>Passed</t>
        </is>
      </c>
      <c r="M371" s="16" t="inlineStr">
        <is>
          <t>web-unit-tests.json: 'formatMoney formats amounts in Brunei dollars with two decimals and thousands separators' passed (2 Oct 2026 14:56 UTC); test-reruns.json: passed (2 Oct 2026 21:45 UTC)</t>
        </is>
      </c>
      <c r="N371" s="16" t="inlineStr">
        <is>
          <t>2 Oct 2026 21:45 UTC</t>
        </is>
      </c>
      <c r="O371" s="16" t="inlineStr">
        <is>
          <t>iorta QA (Vitest)</t>
        </is>
      </c>
      <c r="P371" s="16" t="inlineStr"/>
    </row>
    <row r="372">
      <c r="A372" s="15" t="inlineStr">
        <is>
          <t>CS-0371</t>
        </is>
      </c>
      <c r="B372" s="15" t="inlineStr">
        <is>
          <t>TS-70</t>
        </is>
      </c>
      <c r="C372" s="15" t="inlineStr">
        <is>
          <t>TC-193</t>
        </is>
      </c>
      <c r="D372" s="15" t="inlineStr">
        <is>
          <t>PLT</t>
        </is>
      </c>
      <c r="E372" s="16" t="inlineStr">
        <is>
          <t>formatMoney: rounds to the nearest cent and keeps zero as an amount</t>
        </is>
      </c>
      <c r="F372" s="16" t="inlineStr">
        <is>
          <t>Developer / CI</t>
        </is>
      </c>
      <c r="G372" s="16" t="inlineStr">
        <is>
          <t>1. Run `npm test -w apps/web` (Vitest, Testing Library, jsdom)
2. Locate 'formatMoney rounds to the nearest cent and keeps zero as an amount' in the run output</t>
        </is>
      </c>
      <c r="H372" s="16" t="inlineStr">
        <is>
          <t>Fixtures defined in utils/format.test.ts</t>
        </is>
      </c>
      <c r="I372" s="16" t="inlineStr">
        <is>
          <t>The test passes: formatMoney rounds to the nearest cent and keeps zero as an amount.</t>
        </is>
      </c>
      <c r="J372" s="15" t="inlineStr">
        <is>
          <t>Unit</t>
        </is>
      </c>
      <c r="K372" s="16" t="inlineStr">
        <is>
          <t>Automated – utils/format.test.ts</t>
        </is>
      </c>
      <c r="L372" s="17" t="inlineStr">
        <is>
          <t>Passed</t>
        </is>
      </c>
      <c r="M372" s="16" t="inlineStr">
        <is>
          <t>web-unit-tests.json: 'formatMoney rounds to the nearest cent and keeps zero as an amount' passed (2 Oct 2026 14:56 UTC); test-reruns.json: passed (2 Oct 2026 21:45 UTC)</t>
        </is>
      </c>
      <c r="N372" s="16" t="inlineStr">
        <is>
          <t>2 Oct 2026 21:45 UTC</t>
        </is>
      </c>
      <c r="O372" s="16" t="inlineStr">
        <is>
          <t>iorta QA (Vitest)</t>
        </is>
      </c>
      <c r="P372" s="16" t="inlineStr"/>
    </row>
    <row r="373">
      <c r="A373" s="15" t="inlineStr">
        <is>
          <t>CS-0372</t>
        </is>
      </c>
      <c r="B373" s="15" t="inlineStr">
        <is>
          <t>TS-70</t>
        </is>
      </c>
      <c r="C373" s="15" t="inlineStr">
        <is>
          <t>TC-193</t>
        </is>
      </c>
      <c r="D373" s="15" t="inlineStr">
        <is>
          <t>PLT</t>
        </is>
      </c>
      <c r="E373" s="16" t="inlineStr">
        <is>
          <t>formatMoney: shows a dash when there is no amount</t>
        </is>
      </c>
      <c r="F373" s="16" t="inlineStr">
        <is>
          <t>Developer / CI</t>
        </is>
      </c>
      <c r="G373" s="16" t="inlineStr">
        <is>
          <t>1. Run `npm test -w apps/web` (Vitest, Testing Library, jsdom)
2. Locate 'formatMoney shows a dash when there is no amount' in the run output</t>
        </is>
      </c>
      <c r="H373" s="16" t="inlineStr">
        <is>
          <t>Fixtures defined in utils/format.test.ts</t>
        </is>
      </c>
      <c r="I373" s="16" t="inlineStr">
        <is>
          <t>The test passes: formatMoney shows a dash when there is no amount.</t>
        </is>
      </c>
      <c r="J373" s="15" t="inlineStr">
        <is>
          <t>Unit</t>
        </is>
      </c>
      <c r="K373" s="16" t="inlineStr">
        <is>
          <t>Automated – utils/format.test.ts</t>
        </is>
      </c>
      <c r="L373" s="17" t="inlineStr">
        <is>
          <t>Passed</t>
        </is>
      </c>
      <c r="M373" s="16" t="inlineStr">
        <is>
          <t>web-unit-tests.json: 'formatMoney shows a dash when there is no amount' passed (2 Oct 2026 14:56 UTC); test-reruns.json: passed (2 Oct 2026 21:45 UTC)</t>
        </is>
      </c>
      <c r="N373" s="16" t="inlineStr">
        <is>
          <t>2 Oct 2026 21:45 UTC</t>
        </is>
      </c>
      <c r="O373" s="16" t="inlineStr">
        <is>
          <t>iorta QA (Vitest)</t>
        </is>
      </c>
      <c r="P373" s="16" t="inlineStr"/>
    </row>
    <row r="374">
      <c r="A374" s="15" t="inlineStr">
        <is>
          <t>CS-0373</t>
        </is>
      </c>
      <c r="B374" s="15" t="inlineStr">
        <is>
          <t>TS-70</t>
        </is>
      </c>
      <c r="C374" s="15" t="inlineStr">
        <is>
          <t>TC-193</t>
        </is>
      </c>
      <c r="D374" s="15" t="inlineStr">
        <is>
          <t>PLT</t>
        </is>
      </c>
      <c r="E374" s="16" t="inlineStr">
        <is>
          <t>formatNumber: groups thousands and shows a dash when there is no value</t>
        </is>
      </c>
      <c r="F374" s="16" t="inlineStr">
        <is>
          <t>Developer / CI</t>
        </is>
      </c>
      <c r="G374" s="16" t="inlineStr">
        <is>
          <t>1. Run `npm test -w apps/web` (Vitest, Testing Library, jsdom)
2. Locate 'formatNumber groups thousands and shows a dash when there is no value' in the run output</t>
        </is>
      </c>
      <c r="H374" s="16" t="inlineStr">
        <is>
          <t>Fixtures defined in utils/format.test.ts</t>
        </is>
      </c>
      <c r="I374" s="16" t="inlineStr">
        <is>
          <t>The test passes: formatNumber groups thousands and shows a dash when there is no value.</t>
        </is>
      </c>
      <c r="J374" s="15" t="inlineStr">
        <is>
          <t>Unit</t>
        </is>
      </c>
      <c r="K374" s="16" t="inlineStr">
        <is>
          <t>Automated – utils/format.test.ts</t>
        </is>
      </c>
      <c r="L374" s="17" t="inlineStr">
        <is>
          <t>Passed</t>
        </is>
      </c>
      <c r="M374" s="16" t="inlineStr">
        <is>
          <t>web-unit-tests.json: 'formatNumber groups thousands and shows a dash when there is no value' passed (2 Oct 2026 14:56 UTC); test-reruns.json: passed (2 Oct 2026 21:45 UTC)</t>
        </is>
      </c>
      <c r="N374" s="16" t="inlineStr">
        <is>
          <t>2 Oct 2026 21:45 UTC</t>
        </is>
      </c>
      <c r="O374" s="16" t="inlineStr">
        <is>
          <t>iorta QA (Vitest)</t>
        </is>
      </c>
      <c r="P374" s="16" t="inlineStr"/>
    </row>
    <row r="375">
      <c r="A375" s="15" t="inlineStr">
        <is>
          <t>CS-0374</t>
        </is>
      </c>
      <c r="B375" s="15" t="inlineStr">
        <is>
          <t>TS-70</t>
        </is>
      </c>
      <c r="C375" s="15" t="inlineStr">
        <is>
          <t>TC-193</t>
        </is>
      </c>
      <c r="D375" s="15" t="inlineStr">
        <is>
          <t>PLT</t>
        </is>
      </c>
      <c r="E375" s="16" t="inlineStr">
        <is>
          <t>humanise: shows a dash for an empty value</t>
        </is>
      </c>
      <c r="F375" s="16" t="inlineStr">
        <is>
          <t>Developer / CI</t>
        </is>
      </c>
      <c r="G375" s="16" t="inlineStr">
        <is>
          <t>1. Run `npm test -w apps/web` (Vitest, Testing Library, jsdom)
2. Locate 'humanise shows a dash for an empty value' in the run output</t>
        </is>
      </c>
      <c r="H375" s="16" t="inlineStr">
        <is>
          <t>Fixtures defined in utils/format.test.ts</t>
        </is>
      </c>
      <c r="I375" s="16" t="inlineStr">
        <is>
          <t>The test passes: humanise shows a dash for an empty value.</t>
        </is>
      </c>
      <c r="J375" s="15" t="inlineStr">
        <is>
          <t>Unit</t>
        </is>
      </c>
      <c r="K375" s="16" t="inlineStr">
        <is>
          <t>Automated – utils/format.test.ts</t>
        </is>
      </c>
      <c r="L375" s="17" t="inlineStr">
        <is>
          <t>Passed</t>
        </is>
      </c>
      <c r="M375" s="16" t="inlineStr">
        <is>
          <t>web-unit-tests.json: 'humanise shows a dash for an empty value' passed (2 Oct 2026 14:56 UTC); test-reruns.json: passed (2 Oct 2026 21:45 UTC)</t>
        </is>
      </c>
      <c r="N375" s="16" t="inlineStr">
        <is>
          <t>2 Oct 2026 21:45 UTC</t>
        </is>
      </c>
      <c r="O375" s="16" t="inlineStr">
        <is>
          <t>iorta QA (Vitest)</t>
        </is>
      </c>
      <c r="P375" s="16" t="inlineStr"/>
    </row>
    <row r="376">
      <c r="A376" s="15" t="inlineStr">
        <is>
          <t>CS-0375</t>
        </is>
      </c>
      <c r="B376" s="15" t="inlineStr">
        <is>
          <t>TS-70</t>
        </is>
      </c>
      <c r="C376" s="15" t="inlineStr">
        <is>
          <t>TC-193</t>
        </is>
      </c>
      <c r="D376" s="15" t="inlineStr">
        <is>
          <t>PLT</t>
        </is>
      </c>
      <c r="E376" s="16" t="inlineStr">
        <is>
          <t>humanise: turns an enum code into sentence case</t>
        </is>
      </c>
      <c r="F376" s="16" t="inlineStr">
        <is>
          <t>Developer / CI</t>
        </is>
      </c>
      <c r="G376" s="16" t="inlineStr">
        <is>
          <t>1. Run `npm test -w apps/web` (Vitest, Testing Library, jsdom)
2. Locate 'humanise turns an enum code into sentence case' in the run output</t>
        </is>
      </c>
      <c r="H376" s="16" t="inlineStr">
        <is>
          <t>Fixtures defined in utils/format.test.ts</t>
        </is>
      </c>
      <c r="I376" s="16" t="inlineStr">
        <is>
          <t>The test passes: humanise turns an enum code into sentence case.</t>
        </is>
      </c>
      <c r="J376" s="15" t="inlineStr">
        <is>
          <t>Unit</t>
        </is>
      </c>
      <c r="K376" s="16" t="inlineStr">
        <is>
          <t>Automated – utils/format.test.ts</t>
        </is>
      </c>
      <c r="L376" s="17" t="inlineStr">
        <is>
          <t>Passed</t>
        </is>
      </c>
      <c r="M376" s="16" t="inlineStr">
        <is>
          <t>web-unit-tests.json: 'humanise turns an enum code into sentence case' passed (2 Oct 2026 14:56 UTC); test-reruns.json: passed (2 Oct 2026 21:45 UTC)</t>
        </is>
      </c>
      <c r="N376" s="16" t="inlineStr">
        <is>
          <t>2 Oct 2026 21:45 UTC</t>
        </is>
      </c>
      <c r="O376" s="16" t="inlineStr">
        <is>
          <t>iorta QA (Vitest)</t>
        </is>
      </c>
      <c r="P376" s="16" t="inlineStr"/>
    </row>
    <row r="377">
      <c r="A377" s="15" t="inlineStr">
        <is>
          <t>CS-0376</t>
        </is>
      </c>
      <c r="B377" s="15" t="inlineStr">
        <is>
          <t>TS-70</t>
        </is>
      </c>
      <c r="C377" s="15" t="inlineStr">
        <is>
          <t>TC-193</t>
        </is>
      </c>
      <c r="D377" s="15" t="inlineStr">
        <is>
          <t>PLT</t>
        </is>
      </c>
      <c r="E377" s="16" t="inlineStr">
        <is>
          <t>labelFromKey: splits camel-case keys into a sentence-case label</t>
        </is>
      </c>
      <c r="F377" s="16" t="inlineStr">
        <is>
          <t>Developer / CI</t>
        </is>
      </c>
      <c r="G377" s="16" t="inlineStr">
        <is>
          <t>1. Run `npm test -w apps/web` (Vitest, Testing Library, jsdom)
2. Locate 'labelFromKey splits camel-case keys into a sentence-case label' in the run output</t>
        </is>
      </c>
      <c r="H377" s="16" t="inlineStr">
        <is>
          <t>Fixtures defined in utils/format.test.ts</t>
        </is>
      </c>
      <c r="I377" s="16" t="inlineStr">
        <is>
          <t>The test passes: labelFromKey splits camel-case keys into a sentence-case label.</t>
        </is>
      </c>
      <c r="J377" s="15" t="inlineStr">
        <is>
          <t>Unit</t>
        </is>
      </c>
      <c r="K377" s="16" t="inlineStr">
        <is>
          <t>Automated – utils/format.test.ts</t>
        </is>
      </c>
      <c r="L377" s="17" t="inlineStr">
        <is>
          <t>Passed</t>
        </is>
      </c>
      <c r="M377" s="16" t="inlineStr">
        <is>
          <t>web-unit-tests.json: 'labelFromKey splits camel-case keys into a sentence-case label' passed (2 Oct 2026 14:56 UTC); test-reruns.json: passed (2 Oct 2026 21:45 UTC)</t>
        </is>
      </c>
      <c r="N377" s="16" t="inlineStr">
        <is>
          <t>2 Oct 2026 21:45 UTC</t>
        </is>
      </c>
      <c r="O377" s="16" t="inlineStr">
        <is>
          <t>iorta QA (Vitest)</t>
        </is>
      </c>
      <c r="P377" s="16" t="inlineStr"/>
    </row>
    <row r="378">
      <c r="A378" s="15" t="inlineStr">
        <is>
          <t>CS-0377</t>
        </is>
      </c>
      <c r="B378" s="15" t="inlineStr">
        <is>
          <t>TS-70</t>
        </is>
      </c>
      <c r="C378" s="15" t="inlineStr">
        <is>
          <t>TC-194</t>
        </is>
      </c>
      <c r="D378" s="15" t="inlineStr">
        <is>
          <t>PLT</t>
        </is>
      </c>
      <c r="E378" s="16" t="inlineStr">
        <is>
          <t>RequirePermission: renders the page when the user holds the permission</t>
        </is>
      </c>
      <c r="F378" s="16" t="inlineStr">
        <is>
          <t>Developer / CI</t>
        </is>
      </c>
      <c r="G378" s="16" t="inlineStr">
        <is>
          <t>1. Run `npm test -w apps/web` (Vitest, Testing Library, jsdom)
2. Locate 'RequirePermission renders the page when the user holds the permission' in the run output</t>
        </is>
      </c>
      <c r="H378" s="16" t="inlineStr">
        <is>
          <t>Fixtures defined in components/RequirePermission.test.tsx</t>
        </is>
      </c>
      <c r="I378" s="16" t="inlineStr">
        <is>
          <t>The test passes: RequirePermission renders the page when the user holds the permission.</t>
        </is>
      </c>
      <c r="J378" s="15" t="inlineStr">
        <is>
          <t>Unit</t>
        </is>
      </c>
      <c r="K378" s="16" t="inlineStr">
        <is>
          <t>Automated – components/RequirePermission.test.tsx</t>
        </is>
      </c>
      <c r="L378" s="17" t="inlineStr">
        <is>
          <t>Passed</t>
        </is>
      </c>
      <c r="M378" s="16" t="inlineStr">
        <is>
          <t>web-unit-tests.json: 'RequirePermission renders the page when the user holds the permission' passed (2 Oct 2026 14:56 UTC); test-reruns.json: passed (2 Oct 2026 21:45 UTC)</t>
        </is>
      </c>
      <c r="N378" s="16" t="inlineStr">
        <is>
          <t>2 Oct 2026 21:45 UTC</t>
        </is>
      </c>
      <c r="O378" s="16" t="inlineStr">
        <is>
          <t>iorta QA (Vitest)</t>
        </is>
      </c>
      <c r="P378" s="16" t="inlineStr"/>
    </row>
    <row r="379">
      <c r="A379" s="15" t="inlineStr">
        <is>
          <t>CS-0378</t>
        </is>
      </c>
      <c r="B379" s="15" t="inlineStr">
        <is>
          <t>TS-70</t>
        </is>
      </c>
      <c r="C379" s="15" t="inlineStr">
        <is>
          <t>TC-194</t>
        </is>
      </c>
      <c r="D379" s="15" t="inlineStr">
        <is>
          <t>PLT</t>
        </is>
      </c>
      <c r="E379" s="16" t="inlineStr">
        <is>
          <t>RequirePermission: shows the not-authorised page when the permission is missing</t>
        </is>
      </c>
      <c r="F379" s="16" t="inlineStr">
        <is>
          <t>Developer / CI</t>
        </is>
      </c>
      <c r="G379" s="16" t="inlineStr">
        <is>
          <t>1. Run `npm test -w apps/web` (Vitest, Testing Library, jsdom)
2. Locate 'RequirePermission shows the not-authorised page when the permission is missing' in the run output</t>
        </is>
      </c>
      <c r="H379" s="16" t="inlineStr">
        <is>
          <t>Fixtures defined in components/RequirePermission.test.tsx</t>
        </is>
      </c>
      <c r="I379" s="16" t="inlineStr">
        <is>
          <t>The test passes: RequirePermission shows the not-authorised page when the permission is missing.</t>
        </is>
      </c>
      <c r="J379" s="15" t="inlineStr">
        <is>
          <t>Unit</t>
        </is>
      </c>
      <c r="K379" s="16" t="inlineStr">
        <is>
          <t>Automated – components/RequirePermission.test.tsx</t>
        </is>
      </c>
      <c r="L379" s="17" t="inlineStr">
        <is>
          <t>Passed</t>
        </is>
      </c>
      <c r="M379" s="16" t="inlineStr">
        <is>
          <t>web-unit-tests.json: 'RequirePermission shows the not-authorised page when the permission is missing' passed (2 Oct 2026 14:56 UTC); test-reruns.json: passed (2 Oct 2026 21:45 UTC)</t>
        </is>
      </c>
      <c r="N379" s="16" t="inlineStr">
        <is>
          <t>2 Oct 2026 21:45 UTC</t>
        </is>
      </c>
      <c r="O379" s="16" t="inlineStr">
        <is>
          <t>iorta QA (Vitest)</t>
        </is>
      </c>
      <c r="P379" s="16" t="inlineStr"/>
    </row>
    <row r="380">
      <c r="A380" s="15" t="inlineStr">
        <is>
          <t>CS-0379</t>
        </is>
      </c>
      <c r="B380" s="15" t="inlineStr">
        <is>
          <t>TS-70</t>
        </is>
      </c>
      <c r="C380" s="15" t="inlineStr">
        <is>
          <t>TC-194</t>
        </is>
      </c>
      <c r="D380" s="15" t="inlineStr">
        <is>
          <t>PLT</t>
        </is>
      </c>
      <c r="E380" s="16" t="inlineStr">
        <is>
          <t>StatusTag: prefers an explicit label</t>
        </is>
      </c>
      <c r="F380" s="16" t="inlineStr">
        <is>
          <t>Developer / CI</t>
        </is>
      </c>
      <c r="G380" s="16" t="inlineStr">
        <is>
          <t>1. Run `npm test -w apps/web` (Vitest, Testing Library, jsdom)
2. Locate 'StatusTag prefers an explicit label' in the run output</t>
        </is>
      </c>
      <c r="H380" s="16" t="inlineStr">
        <is>
          <t>Fixtures defined in components/StatusTag.test.tsx</t>
        </is>
      </c>
      <c r="I380" s="16" t="inlineStr">
        <is>
          <t>The test passes: StatusTag prefers an explicit label.</t>
        </is>
      </c>
      <c r="J380" s="15" t="inlineStr">
        <is>
          <t>Unit</t>
        </is>
      </c>
      <c r="K380" s="16" t="inlineStr">
        <is>
          <t>Automated – components/StatusTag.test.tsx</t>
        </is>
      </c>
      <c r="L380" s="17" t="inlineStr">
        <is>
          <t>Passed</t>
        </is>
      </c>
      <c r="M380" s="16" t="inlineStr">
        <is>
          <t>web-unit-tests.json: 'StatusTag prefers an explicit label' passed (2 Oct 2026 14:56 UTC); test-reruns.json: passed (2 Oct 2026 21:45 UTC)</t>
        </is>
      </c>
      <c r="N380" s="16" t="inlineStr">
        <is>
          <t>2 Oct 2026 21:45 UTC</t>
        </is>
      </c>
      <c r="O380" s="16" t="inlineStr">
        <is>
          <t>iorta QA (Vitest)</t>
        </is>
      </c>
      <c r="P380" s="16" t="inlineStr"/>
    </row>
    <row r="381">
      <c r="A381" s="15" t="inlineStr">
        <is>
          <t>CS-0380</t>
        </is>
      </c>
      <c r="B381" s="15" t="inlineStr">
        <is>
          <t>TS-70</t>
        </is>
      </c>
      <c r="C381" s="15" t="inlineStr">
        <is>
          <t>TC-194</t>
        </is>
      </c>
      <c r="D381" s="15" t="inlineStr">
        <is>
          <t>PLT</t>
        </is>
      </c>
      <c r="E381" s="16" t="inlineStr">
        <is>
          <t>StatusTag: renders nothing without a status</t>
        </is>
      </c>
      <c r="F381" s="16" t="inlineStr">
        <is>
          <t>Developer / CI</t>
        </is>
      </c>
      <c r="G381" s="16" t="inlineStr">
        <is>
          <t>1. Run `npm test -w apps/web` (Vitest, Testing Library, jsdom)
2. Locate 'StatusTag renders nothing without a status' in the run output</t>
        </is>
      </c>
      <c r="H381" s="16" t="inlineStr">
        <is>
          <t>Fixtures defined in components/StatusTag.test.tsx</t>
        </is>
      </c>
      <c r="I381" s="16" t="inlineStr">
        <is>
          <t>The test passes: StatusTag renders nothing without a status.</t>
        </is>
      </c>
      <c r="J381" s="15" t="inlineStr">
        <is>
          <t>Unit</t>
        </is>
      </c>
      <c r="K381" s="16" t="inlineStr">
        <is>
          <t>Automated – components/StatusTag.test.tsx</t>
        </is>
      </c>
      <c r="L381" s="17" t="inlineStr">
        <is>
          <t>Passed</t>
        </is>
      </c>
      <c r="M381" s="16" t="inlineStr">
        <is>
          <t>web-unit-tests.json: 'StatusTag renders nothing without a status' passed (2 Oct 2026 14:56 UTC); test-reruns.json: passed (2 Oct 2026 21:45 UTC)</t>
        </is>
      </c>
      <c r="N381" s="16" t="inlineStr">
        <is>
          <t>2 Oct 2026 21:45 UTC</t>
        </is>
      </c>
      <c r="O381" s="16" t="inlineStr">
        <is>
          <t>iorta QA (Vitest)</t>
        </is>
      </c>
      <c r="P381" s="16" t="inlineStr"/>
    </row>
    <row r="382">
      <c r="A382" s="15" t="inlineStr">
        <is>
          <t>CS-0381</t>
        </is>
      </c>
      <c r="B382" s="15" t="inlineStr">
        <is>
          <t>TS-70</t>
        </is>
      </c>
      <c r="C382" s="15" t="inlineStr">
        <is>
          <t>TC-194</t>
        </is>
      </c>
      <c r="D382" s="15" t="inlineStr">
        <is>
          <t>PLT</t>
        </is>
      </c>
      <c r="E382" s="16" t="inlineStr">
        <is>
          <t>StatusTag: shows the humanised status with its colour</t>
        </is>
      </c>
      <c r="F382" s="16" t="inlineStr">
        <is>
          <t>Developer / CI</t>
        </is>
      </c>
      <c r="G382" s="16" t="inlineStr">
        <is>
          <t>1. Run `npm test -w apps/web` (Vitest, Testing Library, jsdom)
2. Locate 'StatusTag shows the humanised status with its colour' in the run output</t>
        </is>
      </c>
      <c r="H382" s="16" t="inlineStr">
        <is>
          <t>Fixtures defined in components/StatusTag.test.tsx</t>
        </is>
      </c>
      <c r="I382" s="16" t="inlineStr">
        <is>
          <t>The test passes: StatusTag shows the humanised status with its colour.</t>
        </is>
      </c>
      <c r="J382" s="15" t="inlineStr">
        <is>
          <t>Unit</t>
        </is>
      </c>
      <c r="K382" s="16" t="inlineStr">
        <is>
          <t>Automated – components/StatusTag.test.tsx</t>
        </is>
      </c>
      <c r="L382" s="17" t="inlineStr">
        <is>
          <t>Passed</t>
        </is>
      </c>
      <c r="M382" s="16" t="inlineStr">
        <is>
          <t>web-unit-tests.json: 'StatusTag shows the humanised status with its colour' passed (2 Oct 2026 14:56 UTC); test-reruns.json: passed (2 Oct 2026 21:45 UTC)</t>
        </is>
      </c>
      <c r="N382" s="16" t="inlineStr">
        <is>
          <t>2 Oct 2026 21:45 UTC</t>
        </is>
      </c>
      <c r="O382" s="16" t="inlineStr">
        <is>
          <t>iorta QA (Vitest)</t>
        </is>
      </c>
      <c r="P382" s="16" t="inlineStr"/>
    </row>
    <row r="383">
      <c r="A383" s="15" t="inlineStr">
        <is>
          <t>CS-0382</t>
        </is>
      </c>
      <c r="B383" s="15" t="inlineStr">
        <is>
          <t>TS-70</t>
        </is>
      </c>
      <c r="C383" s="15" t="inlineStr">
        <is>
          <t>TC-194</t>
        </is>
      </c>
      <c r="D383" s="15" t="inlineStr">
        <is>
          <t>PLT</t>
        </is>
      </c>
      <c r="E383" s="16" t="inlineStr">
        <is>
          <t>groupOfPath: returns nothing for top-level entries and pages outside the menu</t>
        </is>
      </c>
      <c r="F383" s="16" t="inlineStr">
        <is>
          <t>Developer / CI</t>
        </is>
      </c>
      <c r="G383" s="16" t="inlineStr">
        <is>
          <t>1. Run `npm test -w apps/web` (Vitest, Testing Library, jsdom)
2. Locate 'groupOfPath returns nothing for top-level entries and pages outside the menu' in the run output</t>
        </is>
      </c>
      <c r="H383" s="16" t="inlineStr">
        <is>
          <t>Fixtures defined in layouts/menus.test.ts</t>
        </is>
      </c>
      <c r="I383" s="16" t="inlineStr">
        <is>
          <t>The test passes: groupOfPath returns nothing for top-level entries and pages outside the menu.</t>
        </is>
      </c>
      <c r="J383" s="15" t="inlineStr">
        <is>
          <t>Unit</t>
        </is>
      </c>
      <c r="K383" s="16" t="inlineStr">
        <is>
          <t>Automated – layouts/menus.test.ts</t>
        </is>
      </c>
      <c r="L383" s="17" t="inlineStr">
        <is>
          <t>Passed</t>
        </is>
      </c>
      <c r="M383" s="16" t="inlineStr">
        <is>
          <t>test-reruns.json: 'groupOfPath returns nothing for top-level entries and pages outside the menu' passed (2 Oct 2026 21:45 UTC)</t>
        </is>
      </c>
      <c r="N383" s="16" t="inlineStr">
        <is>
          <t>2 Oct 2026 21:45 UTC</t>
        </is>
      </c>
      <c r="O383" s="16" t="inlineStr">
        <is>
          <t>iorta QA (Vitest)</t>
        </is>
      </c>
      <c r="P383" s="16" t="inlineStr"/>
    </row>
    <row r="384">
      <c r="A384" s="15" t="inlineStr">
        <is>
          <t>CS-0383</t>
        </is>
      </c>
      <c r="B384" s="15" t="inlineStr">
        <is>
          <t>TS-70</t>
        </is>
      </c>
      <c r="C384" s="15" t="inlineStr">
        <is>
          <t>TC-194</t>
        </is>
      </c>
      <c r="D384" s="15" t="inlineStr">
        <is>
          <t>PLT</t>
        </is>
      </c>
      <c r="E384" s="16" t="inlineStr">
        <is>
          <t>groupOfPath: returns the group holding the highlighted entry</t>
        </is>
      </c>
      <c r="F384" s="16" t="inlineStr">
        <is>
          <t>Developer / CI</t>
        </is>
      </c>
      <c r="G384" s="16" t="inlineStr">
        <is>
          <t>1. Run `npm test -w apps/web` (Vitest, Testing Library, jsdom)
2. Locate 'groupOfPath returns the group holding the highlighted entry' in the run output</t>
        </is>
      </c>
      <c r="H384" s="16" t="inlineStr">
        <is>
          <t>Fixtures defined in layouts/menus.test.ts</t>
        </is>
      </c>
      <c r="I384" s="16" t="inlineStr">
        <is>
          <t>The test passes: groupOfPath returns the group holding the highlighted entry.</t>
        </is>
      </c>
      <c r="J384" s="15" t="inlineStr">
        <is>
          <t>Unit</t>
        </is>
      </c>
      <c r="K384" s="16" t="inlineStr">
        <is>
          <t>Automated – layouts/menus.test.ts</t>
        </is>
      </c>
      <c r="L384" s="17" t="inlineStr">
        <is>
          <t>Passed</t>
        </is>
      </c>
      <c r="M384" s="16" t="inlineStr">
        <is>
          <t>test-reruns.json: 'groupOfPath returns the group holding the highlighted entry' passed (2 Oct 2026 21:45 UTC)</t>
        </is>
      </c>
      <c r="N384" s="16" t="inlineStr">
        <is>
          <t>2 Oct 2026 21:45 UTC</t>
        </is>
      </c>
      <c r="O384" s="16" t="inlineStr">
        <is>
          <t>iorta QA (Vitest)</t>
        </is>
      </c>
      <c r="P384" s="16" t="inlineStr"/>
    </row>
    <row r="385">
      <c r="A385" s="15" t="inlineStr">
        <is>
          <t>CS-0384</t>
        </is>
      </c>
      <c r="B385" s="15" t="inlineStr">
        <is>
          <t>TS-70</t>
        </is>
      </c>
      <c r="C385" s="15" t="inlineStr">
        <is>
          <t>TC-194</t>
        </is>
      </c>
      <c r="D385" s="15" t="inlineStr">
        <is>
          <t>PLT</t>
        </is>
      </c>
      <c r="E385" s="16" t="inlineStr">
        <is>
          <t>initials: skips honorifics and patronymic particles</t>
        </is>
      </c>
      <c r="F385" s="16" t="inlineStr">
        <is>
          <t>Developer / CI</t>
        </is>
      </c>
      <c r="G385" s="16" t="inlineStr">
        <is>
          <t>1. Run `npm test -w apps/web` (Vitest, Testing Library, jsdom)
2. Locate 'initials skips honorifics and patronymic particles' in the run output</t>
        </is>
      </c>
      <c r="H385" s="16" t="inlineStr">
        <is>
          <t>Fixtures defined in layouts/UserMenu.test.ts</t>
        </is>
      </c>
      <c r="I385" s="16" t="inlineStr">
        <is>
          <t>The test passes: initials skips honorifics and patronymic particles.</t>
        </is>
      </c>
      <c r="J385" s="15" t="inlineStr">
        <is>
          <t>Unit</t>
        </is>
      </c>
      <c r="K385" s="16" t="inlineStr">
        <is>
          <t>Automated – layouts/UserMenu.test.ts</t>
        </is>
      </c>
      <c r="L385" s="17" t="inlineStr">
        <is>
          <t>Passed</t>
        </is>
      </c>
      <c r="M385" s="16" t="inlineStr">
        <is>
          <t>test-reruns.json: 'initials skips honorifics and patronymic particles' passed (2 Oct 2026 21:45 UTC)</t>
        </is>
      </c>
      <c r="N385" s="16" t="inlineStr">
        <is>
          <t>2 Oct 2026 21:45 UTC</t>
        </is>
      </c>
      <c r="O385" s="16" t="inlineStr">
        <is>
          <t>iorta QA (Vitest)</t>
        </is>
      </c>
      <c r="P385" s="16" t="inlineStr"/>
    </row>
    <row r="386">
      <c r="A386" s="15" t="inlineStr">
        <is>
          <t>CS-0385</t>
        </is>
      </c>
      <c r="B386" s="15" t="inlineStr">
        <is>
          <t>TS-70</t>
        </is>
      </c>
      <c r="C386" s="15" t="inlineStr">
        <is>
          <t>TC-194</t>
        </is>
      </c>
      <c r="D386" s="15" t="inlineStr">
        <is>
          <t>PLT</t>
        </is>
      </c>
      <c r="E386" s="16" t="inlineStr">
        <is>
          <t>initials: uses the first two given names</t>
        </is>
      </c>
      <c r="F386" s="16" t="inlineStr">
        <is>
          <t>Developer / CI</t>
        </is>
      </c>
      <c r="G386" s="16" t="inlineStr">
        <is>
          <t>1. Run `npm test -w apps/web` (Vitest, Testing Library, jsdom)
2. Locate 'initials uses the first two given names' in the run output</t>
        </is>
      </c>
      <c r="H386" s="16" t="inlineStr">
        <is>
          <t>Fixtures defined in layouts/UserMenu.test.ts</t>
        </is>
      </c>
      <c r="I386" s="16" t="inlineStr">
        <is>
          <t>The test passes: initials uses the first two given names.</t>
        </is>
      </c>
      <c r="J386" s="15" t="inlineStr">
        <is>
          <t>Unit</t>
        </is>
      </c>
      <c r="K386" s="16" t="inlineStr">
        <is>
          <t>Automated – layouts/UserMenu.test.ts</t>
        </is>
      </c>
      <c r="L386" s="17" t="inlineStr">
        <is>
          <t>Passed</t>
        </is>
      </c>
      <c r="M386" s="16" t="inlineStr">
        <is>
          <t>test-reruns.json: 'initials uses the first two given names' passed (2 Oct 2026 21:45 UTC)</t>
        </is>
      </c>
      <c r="N386" s="16" t="inlineStr">
        <is>
          <t>2 Oct 2026 21:45 UTC</t>
        </is>
      </c>
      <c r="O386" s="16" t="inlineStr">
        <is>
          <t>iorta QA (Vitest)</t>
        </is>
      </c>
      <c r="P386" s="16" t="inlineStr"/>
    </row>
    <row r="387">
      <c r="A387" s="15" t="inlineStr">
        <is>
          <t>CS-0386</t>
        </is>
      </c>
      <c r="B387" s="15" t="inlineStr">
        <is>
          <t>TS-70</t>
        </is>
      </c>
      <c r="C387" s="15" t="inlineStr">
        <is>
          <t>TC-194</t>
        </is>
      </c>
      <c r="D387" s="15" t="inlineStr">
        <is>
          <t>PLT</t>
        </is>
      </c>
      <c r="E387" s="16" t="inlineStr">
        <is>
          <t>permission codes: are unique</t>
        </is>
      </c>
      <c r="F387" s="16" t="inlineStr">
        <is>
          <t>Developer / CI</t>
        </is>
      </c>
      <c r="G387" s="16" t="inlineStr">
        <is>
          <t>1. Run `npm test -w apps/web` (Vitest, Testing Library, jsdom)
2. Locate 'permission codes are unique' in the run output</t>
        </is>
      </c>
      <c r="H387" s="16" t="inlineStr">
        <is>
          <t>Fixtures defined in utils/permissions.test.ts</t>
        </is>
      </c>
      <c r="I387" s="16" t="inlineStr">
        <is>
          <t>The test passes: permission codes are unique.</t>
        </is>
      </c>
      <c r="J387" s="15" t="inlineStr">
        <is>
          <t>Unit</t>
        </is>
      </c>
      <c r="K387" s="16" t="inlineStr">
        <is>
          <t>Automated – utils/permissions.test.ts</t>
        </is>
      </c>
      <c r="L387" s="17" t="inlineStr">
        <is>
          <t>Passed</t>
        </is>
      </c>
      <c r="M387" s="16" t="inlineStr">
        <is>
          <t>web-unit-tests.json: 'permission codes are unique' passed (2 Oct 2026 14:56 UTC); test-reruns.json: passed (2 Oct 2026 21:45 UTC)</t>
        </is>
      </c>
      <c r="N387" s="16" t="inlineStr">
        <is>
          <t>2 Oct 2026 21:45 UTC</t>
        </is>
      </c>
      <c r="O387" s="16" t="inlineStr">
        <is>
          <t>iorta QA (Vitest)</t>
        </is>
      </c>
      <c r="P387" s="16" t="inlineStr"/>
    </row>
    <row r="388">
      <c r="A388" s="15" t="inlineStr">
        <is>
          <t>CS-0387</t>
        </is>
      </c>
      <c r="B388" s="15" t="inlineStr">
        <is>
          <t>TS-70</t>
        </is>
      </c>
      <c r="C388" s="15" t="inlineStr">
        <is>
          <t>TC-194</t>
        </is>
      </c>
      <c r="D388" s="15" t="inlineStr">
        <is>
          <t>PLT</t>
        </is>
      </c>
      <c r="E388" s="16" t="inlineStr">
        <is>
          <t>permission codes: group every approval permission and nothing else</t>
        </is>
      </c>
      <c r="F388" s="16" t="inlineStr">
        <is>
          <t>Developer / CI</t>
        </is>
      </c>
      <c r="G388" s="16" t="inlineStr">
        <is>
          <t>1. Run `npm test -w apps/web` (Vitest, Testing Library, jsdom)
2. Locate 'permission codes group every approval permission and nothing else' in the run output</t>
        </is>
      </c>
      <c r="H388" s="16" t="inlineStr">
        <is>
          <t>Fixtures defined in utils/permissions.test.ts</t>
        </is>
      </c>
      <c r="I388" s="16" t="inlineStr">
        <is>
          <t>The test passes: permission codes group every approval permission and nothing else.</t>
        </is>
      </c>
      <c r="J388" s="15" t="inlineStr">
        <is>
          <t>Unit</t>
        </is>
      </c>
      <c r="K388" s="16" t="inlineStr">
        <is>
          <t>Automated – utils/permissions.test.ts</t>
        </is>
      </c>
      <c r="L388" s="17" t="inlineStr">
        <is>
          <t>Passed</t>
        </is>
      </c>
      <c r="M388" s="16" t="inlineStr">
        <is>
          <t>web-unit-tests.json: 'permission codes group every approval permission and nothing else' passed (2 Oct 2026 14:56 UTC); test-reruns.json: passed (2 Oct 2026 21:45 UTC)</t>
        </is>
      </c>
      <c r="N388" s="16" t="inlineStr">
        <is>
          <t>2 Oct 2026 21:45 UTC</t>
        </is>
      </c>
      <c r="O388" s="16" t="inlineStr">
        <is>
          <t>iorta QA (Vitest)</t>
        </is>
      </c>
      <c r="P388" s="16" t="inlineStr"/>
    </row>
    <row r="389">
      <c r="A389" s="15" t="inlineStr">
        <is>
          <t>CS-0388</t>
        </is>
      </c>
      <c r="B389" s="15" t="inlineStr">
        <is>
          <t>TS-70</t>
        </is>
      </c>
      <c r="C389" s="15" t="inlineStr">
        <is>
          <t>TC-194</t>
        </is>
      </c>
      <c r="D389" s="15" t="inlineStr">
        <is>
          <t>PLT</t>
        </is>
      </c>
      <c r="E389" s="16" t="inlineStr">
        <is>
          <t>permission codes: use the portal or back-office prefix matching their key</t>
        </is>
      </c>
      <c r="F389" s="16" t="inlineStr">
        <is>
          <t>Developer / CI</t>
        </is>
      </c>
      <c r="G389" s="16" t="inlineStr">
        <is>
          <t>1. Run `npm test -w apps/web` (Vitest, Testing Library, jsdom)
2. Locate 'permission codes use the portal or back-office prefix matching their key' in the run output</t>
        </is>
      </c>
      <c r="H389" s="16" t="inlineStr">
        <is>
          <t>Fixtures defined in utils/permissions.test.ts</t>
        </is>
      </c>
      <c r="I389" s="16" t="inlineStr">
        <is>
          <t>The test passes: permission codes use the portal or back-office prefix matching their key.</t>
        </is>
      </c>
      <c r="J389" s="15" t="inlineStr">
        <is>
          <t>Unit</t>
        </is>
      </c>
      <c r="K389" s="16" t="inlineStr">
        <is>
          <t>Automated – utils/permissions.test.ts</t>
        </is>
      </c>
      <c r="L389" s="17" t="inlineStr">
        <is>
          <t>Passed</t>
        </is>
      </c>
      <c r="M389" s="16" t="inlineStr">
        <is>
          <t>web-unit-tests.json: 'permission codes use the portal or back-office prefix matching their key' passed (2 Oct 2026 14:56 UTC); test-reruns.json: passed (2 Oct 2026 21:45 UTC)</t>
        </is>
      </c>
      <c r="N389" s="16" t="inlineStr">
        <is>
          <t>2 Oct 2026 21:45 UTC</t>
        </is>
      </c>
      <c r="O389" s="16" t="inlineStr">
        <is>
          <t>iorta QA (Vitest)</t>
        </is>
      </c>
      <c r="P389" s="16" t="inlineStr"/>
    </row>
    <row r="390">
      <c r="A390" s="15" t="inlineStr">
        <is>
          <t>CS-0389</t>
        </is>
      </c>
      <c r="B390" s="15" t="inlineStr">
        <is>
          <t>TS-70</t>
        </is>
      </c>
      <c r="C390" s="15" t="inlineStr">
        <is>
          <t>TC-194</t>
        </is>
      </c>
      <c r="D390" s="15" t="inlineStr">
        <is>
          <t>PLT</t>
        </is>
      </c>
      <c r="E390" s="16" t="inlineStr">
        <is>
          <t>selectedMenuKeys: does not match entries that merely share a prefix</t>
        </is>
      </c>
      <c r="F390" s="16" t="inlineStr">
        <is>
          <t>Developer / CI</t>
        </is>
      </c>
      <c r="G390" s="16" t="inlineStr">
        <is>
          <t>1. Run `npm test -w apps/web` (Vitest, Testing Library, jsdom)
2. Locate 'selectedMenuKeys does not match entries that merely share a prefix' in the run output</t>
        </is>
      </c>
      <c r="H390" s="16" t="inlineStr">
        <is>
          <t>Fixtures defined in layouts/menus.test.ts</t>
        </is>
      </c>
      <c r="I390" s="16" t="inlineStr">
        <is>
          <t>The test passes: selectedMenuKeys does not match entries that merely share a prefix.</t>
        </is>
      </c>
      <c r="J390" s="15" t="inlineStr">
        <is>
          <t>Unit</t>
        </is>
      </c>
      <c r="K390" s="16" t="inlineStr">
        <is>
          <t>Automated – layouts/menus.test.ts</t>
        </is>
      </c>
      <c r="L390" s="17" t="inlineStr">
        <is>
          <t>Passed</t>
        </is>
      </c>
      <c r="M390" s="16" t="inlineStr">
        <is>
          <t>web-unit-tests.json: 'selectedMenuKeys does not match entries that merely share a prefix' passed (2 Oct 2026 14:56 UTC); test-reruns.json: passed (2 Oct 2026 21:45 UTC)</t>
        </is>
      </c>
      <c r="N390" s="16" t="inlineStr">
        <is>
          <t>2 Oct 2026 21:45 UTC</t>
        </is>
      </c>
      <c r="O390" s="16" t="inlineStr">
        <is>
          <t>iorta QA (Vitest)</t>
        </is>
      </c>
      <c r="P390" s="16" t="inlineStr"/>
    </row>
    <row r="391">
      <c r="A391" s="15" t="inlineStr">
        <is>
          <t>CS-0390</t>
        </is>
      </c>
      <c r="B391" s="15" t="inlineStr">
        <is>
          <t>TS-70</t>
        </is>
      </c>
      <c r="C391" s="15" t="inlineStr">
        <is>
          <t>TC-194</t>
        </is>
      </c>
      <c r="D391" s="15" t="inlineStr">
        <is>
          <t>PLT</t>
        </is>
      </c>
      <c r="E391" s="16" t="inlineStr">
        <is>
          <t>selectedMenuKeys: highlights nothing on pages without a menu entry</t>
        </is>
      </c>
      <c r="F391" s="16" t="inlineStr">
        <is>
          <t>Developer / CI</t>
        </is>
      </c>
      <c r="G391" s="16" t="inlineStr">
        <is>
          <t>1. Run `npm test -w apps/web` (Vitest, Testing Library, jsdom)
2. Locate 'selectedMenuKeys highlights nothing on pages without a menu entry' in the run output</t>
        </is>
      </c>
      <c r="H391" s="16" t="inlineStr">
        <is>
          <t>Fixtures defined in layouts/menus.test.ts</t>
        </is>
      </c>
      <c r="I391" s="16" t="inlineStr">
        <is>
          <t>The test passes: selectedMenuKeys highlights nothing on pages without a menu entry.</t>
        </is>
      </c>
      <c r="J391" s="15" t="inlineStr">
        <is>
          <t>Unit</t>
        </is>
      </c>
      <c r="K391" s="16" t="inlineStr">
        <is>
          <t>Automated – layouts/menus.test.ts</t>
        </is>
      </c>
      <c r="L391" s="17" t="inlineStr">
        <is>
          <t>Passed</t>
        </is>
      </c>
      <c r="M391" s="16" t="inlineStr">
        <is>
          <t>web-unit-tests.json: 'selectedMenuKeys highlights nothing on pages without a menu entry' passed (2 Oct 2026 14:56 UTC); test-reruns.json: passed (2 Oct 2026 21:45 UTC)</t>
        </is>
      </c>
      <c r="N391" s="16" t="inlineStr">
        <is>
          <t>2 Oct 2026 21:45 UTC</t>
        </is>
      </c>
      <c r="O391" s="16" t="inlineStr">
        <is>
          <t>iorta QA (Vitest)</t>
        </is>
      </c>
      <c r="P391" s="16" t="inlineStr"/>
    </row>
    <row r="392">
      <c r="A392" s="15" t="inlineStr">
        <is>
          <t>CS-0391</t>
        </is>
      </c>
      <c r="B392" s="15" t="inlineStr">
        <is>
          <t>TS-70</t>
        </is>
      </c>
      <c r="C392" s="15" t="inlineStr">
        <is>
          <t>TC-194</t>
        </is>
      </c>
      <c r="D392" s="15" t="inlineStr">
        <is>
          <t>PLT</t>
        </is>
      </c>
      <c r="E392" s="16" t="inlineStr">
        <is>
          <t>selectedMenuKeys: highlights the dashboard only on the module root</t>
        </is>
      </c>
      <c r="F392" s="16" t="inlineStr">
        <is>
          <t>Developer / CI</t>
        </is>
      </c>
      <c r="G392" s="16" t="inlineStr">
        <is>
          <t>1. Run `npm test -w apps/web` (Vitest, Testing Library, jsdom)
2. Locate 'selectedMenuKeys highlights the dashboard only on the module root' in the run output</t>
        </is>
      </c>
      <c r="H392" s="16" t="inlineStr">
        <is>
          <t>Fixtures defined in layouts/menus.test.ts</t>
        </is>
      </c>
      <c r="I392" s="16" t="inlineStr">
        <is>
          <t>The test passes: selectedMenuKeys highlights the dashboard only on the module root.</t>
        </is>
      </c>
      <c r="J392" s="15" t="inlineStr">
        <is>
          <t>Unit</t>
        </is>
      </c>
      <c r="K392" s="16" t="inlineStr">
        <is>
          <t>Automated – layouts/menus.test.ts</t>
        </is>
      </c>
      <c r="L392" s="17" t="inlineStr">
        <is>
          <t>Passed</t>
        </is>
      </c>
      <c r="M392" s="16" t="inlineStr">
        <is>
          <t>web-unit-tests.json: 'selectedMenuKeys highlights the dashboard only on the module root' passed (2 Oct 2026 14:56 UTC); test-reruns.json: passed (2 Oct 2026 21:45 UTC)</t>
        </is>
      </c>
      <c r="N392" s="16" t="inlineStr">
        <is>
          <t>2 Oct 2026 21:45 UTC</t>
        </is>
      </c>
      <c r="O392" s="16" t="inlineStr">
        <is>
          <t>iorta QA (Vitest)</t>
        </is>
      </c>
      <c r="P392" s="16" t="inlineStr"/>
    </row>
    <row r="393">
      <c r="A393" s="15" t="inlineStr">
        <is>
          <t>CS-0392</t>
        </is>
      </c>
      <c r="B393" s="15" t="inlineStr">
        <is>
          <t>TS-70</t>
        </is>
      </c>
      <c r="C393" s="15" t="inlineStr">
        <is>
          <t>TC-194</t>
        </is>
      </c>
      <c r="D393" s="15" t="inlineStr">
        <is>
          <t>PLT</t>
        </is>
      </c>
      <c r="E393" s="16" t="inlineStr">
        <is>
          <t>selectedMenuKeys: highlights the entry whose path is a parent of the current page</t>
        </is>
      </c>
      <c r="F393" s="16" t="inlineStr">
        <is>
          <t>Developer / CI</t>
        </is>
      </c>
      <c r="G393" s="16" t="inlineStr">
        <is>
          <t>1. Run `npm test -w apps/web` (Vitest, Testing Library, jsdom)
2. Locate 'selectedMenuKeys highlights the entry whose path is a parent of the current page' in the run output</t>
        </is>
      </c>
      <c r="H393" s="16" t="inlineStr">
        <is>
          <t>Fixtures defined in layouts/menus.test.ts</t>
        </is>
      </c>
      <c r="I393" s="16" t="inlineStr">
        <is>
          <t>The test passes: selectedMenuKeys highlights the entry whose path is a parent of the current page.</t>
        </is>
      </c>
      <c r="J393" s="15" t="inlineStr">
        <is>
          <t>Unit</t>
        </is>
      </c>
      <c r="K393" s="16" t="inlineStr">
        <is>
          <t>Automated – layouts/menus.test.ts</t>
        </is>
      </c>
      <c r="L393" s="17" t="inlineStr">
        <is>
          <t>Passed</t>
        </is>
      </c>
      <c r="M393" s="16" t="inlineStr">
        <is>
          <t>web-unit-tests.json: 'selectedMenuKeys highlights the entry whose path is a parent of the current page' passed (2 Oct 2026 14:56 UTC); test-reruns.json: passed (2 Oct 2026 21:45 UTC)</t>
        </is>
      </c>
      <c r="N393" s="16" t="inlineStr">
        <is>
          <t>2 Oct 2026 21:45 UTC</t>
        </is>
      </c>
      <c r="O393" s="16" t="inlineStr">
        <is>
          <t>iorta QA (Vitest)</t>
        </is>
      </c>
      <c r="P393" s="16" t="inlineStr"/>
    </row>
    <row r="394">
      <c r="A394" s="15" t="inlineStr">
        <is>
          <t>CS-0393</t>
        </is>
      </c>
      <c r="B394" s="15" t="inlineStr">
        <is>
          <t>TS-70</t>
        </is>
      </c>
      <c r="C394" s="15" t="inlineStr">
        <is>
          <t>TC-194</t>
        </is>
      </c>
      <c r="D394" s="15" t="inlineStr">
        <is>
          <t>PLT</t>
        </is>
      </c>
      <c r="E394" s="16" t="inlineStr">
        <is>
          <t>selectedMenuKeys: ignores a trailing slash</t>
        </is>
      </c>
      <c r="F394" s="16" t="inlineStr">
        <is>
          <t>Developer / CI</t>
        </is>
      </c>
      <c r="G394" s="16" t="inlineStr">
        <is>
          <t>1. Run `npm test -w apps/web` (Vitest, Testing Library, jsdom)
2. Locate 'selectedMenuKeys ignores a trailing slash' in the run output</t>
        </is>
      </c>
      <c r="H394" s="16" t="inlineStr">
        <is>
          <t>Fixtures defined in layouts/menus.test.ts</t>
        </is>
      </c>
      <c r="I394" s="16" t="inlineStr">
        <is>
          <t>The test passes: selectedMenuKeys ignores a trailing slash.</t>
        </is>
      </c>
      <c r="J394" s="15" t="inlineStr">
        <is>
          <t>Unit</t>
        </is>
      </c>
      <c r="K394" s="16" t="inlineStr">
        <is>
          <t>Automated – layouts/menus.test.ts</t>
        </is>
      </c>
      <c r="L394" s="17" t="inlineStr">
        <is>
          <t>Passed</t>
        </is>
      </c>
      <c r="M394" s="16" t="inlineStr">
        <is>
          <t>web-unit-tests.json: 'selectedMenuKeys ignores a trailing slash' passed (2 Oct 2026 14:56 UTC); test-reruns.json: passed (2 Oct 2026 21:45 UTC)</t>
        </is>
      </c>
      <c r="N394" s="16" t="inlineStr">
        <is>
          <t>2 Oct 2026 21:45 UTC</t>
        </is>
      </c>
      <c r="O394" s="16" t="inlineStr">
        <is>
          <t>iorta QA (Vitest)</t>
        </is>
      </c>
      <c r="P394" s="16" t="inlineStr"/>
    </row>
    <row r="395">
      <c r="A395" s="15" t="inlineStr">
        <is>
          <t>CS-0394</t>
        </is>
      </c>
      <c r="B395" s="15" t="inlineStr">
        <is>
          <t>TS-70</t>
        </is>
      </c>
      <c r="C395" s="15" t="inlineStr">
        <is>
          <t>TC-194</t>
        </is>
      </c>
      <c r="D395" s="15" t="inlineStr">
        <is>
          <t>PLT</t>
        </is>
      </c>
      <c r="E395" s="16" t="inlineStr">
        <is>
          <t>selectedMenuKeys: prefers the longest matching entry</t>
        </is>
      </c>
      <c r="F395" s="16" t="inlineStr">
        <is>
          <t>Developer / CI</t>
        </is>
      </c>
      <c r="G395" s="16" t="inlineStr">
        <is>
          <t>1. Run `npm test -w apps/web` (Vitest, Testing Library, jsdom)
2. Locate 'selectedMenuKeys prefers the longest matching entry' in the run output</t>
        </is>
      </c>
      <c r="H395" s="16" t="inlineStr">
        <is>
          <t>Fixtures defined in layouts/menus.test.ts</t>
        </is>
      </c>
      <c r="I395" s="16" t="inlineStr">
        <is>
          <t>The test passes: selectedMenuKeys prefers the longest matching entry.</t>
        </is>
      </c>
      <c r="J395" s="15" t="inlineStr">
        <is>
          <t>Unit</t>
        </is>
      </c>
      <c r="K395" s="16" t="inlineStr">
        <is>
          <t>Automated – layouts/menus.test.ts</t>
        </is>
      </c>
      <c r="L395" s="17" t="inlineStr">
        <is>
          <t>Passed</t>
        </is>
      </c>
      <c r="M395" s="16" t="inlineStr">
        <is>
          <t>web-unit-tests.json: 'selectedMenuKeys prefers the longest matching entry' passed (2 Oct 2026 14:56 UTC); test-reruns.json: passed (2 Oct 2026 21:45 UTC)</t>
        </is>
      </c>
      <c r="N395" s="16" t="inlineStr">
        <is>
          <t>2 Oct 2026 21:45 UTC</t>
        </is>
      </c>
      <c r="O395" s="16" t="inlineStr">
        <is>
          <t>iorta QA (Vitest)</t>
        </is>
      </c>
      <c r="P395" s="16" t="inlineStr"/>
    </row>
    <row r="396">
      <c r="A396" s="15" t="inlineStr">
        <is>
          <t>CS-0395</t>
        </is>
      </c>
      <c r="B396" s="15" t="inlineStr">
        <is>
          <t>TS-70</t>
        </is>
      </c>
      <c r="C396" s="15" t="inlineStr">
        <is>
          <t>TC-194</t>
        </is>
      </c>
      <c r="D396" s="15" t="inlineStr">
        <is>
          <t>PLT</t>
        </is>
      </c>
      <c r="E396" s="16" t="inlineStr">
        <is>
          <t>statusColour: falls back to the default colour for unknown or missing statuses</t>
        </is>
      </c>
      <c r="F396" s="16" t="inlineStr">
        <is>
          <t>Developer / CI</t>
        </is>
      </c>
      <c r="G396" s="16" t="inlineStr">
        <is>
          <t>1. Run `npm test -w apps/web` (Vitest, Testing Library, jsdom)
2. Locate 'statusColour falls back to the default colour for unknown or missing statuses' in the run output</t>
        </is>
      </c>
      <c r="H396" s="16" t="inlineStr">
        <is>
          <t>Fixtures defined in utils/status.test.ts</t>
        </is>
      </c>
      <c r="I396" s="16" t="inlineStr">
        <is>
          <t>The test passes: statusColour falls back to the default colour for unknown or missing statuses.</t>
        </is>
      </c>
      <c r="J396" s="15" t="inlineStr">
        <is>
          <t>Unit</t>
        </is>
      </c>
      <c r="K396" s="16" t="inlineStr">
        <is>
          <t>Automated – utils/status.test.ts</t>
        </is>
      </c>
      <c r="L396" s="17" t="inlineStr">
        <is>
          <t>Passed</t>
        </is>
      </c>
      <c r="M396" s="16" t="inlineStr">
        <is>
          <t>web-unit-tests.json: 'statusColour falls back to the default colour for unknown or missing statuses' passed (2 Oct 2026 14:56 UTC); test-reruns.json: passed (2 Oct 2026 21:45 UTC)</t>
        </is>
      </c>
      <c r="N396" s="16" t="inlineStr">
        <is>
          <t>2 Oct 2026 21:45 UTC</t>
        </is>
      </c>
      <c r="O396" s="16" t="inlineStr">
        <is>
          <t>iorta QA (Vitest)</t>
        </is>
      </c>
      <c r="P396" s="16" t="inlineStr"/>
    </row>
    <row r="397">
      <c r="A397" s="15" t="inlineStr">
        <is>
          <t>CS-0396</t>
        </is>
      </c>
      <c r="B397" s="15" t="inlineStr">
        <is>
          <t>TS-70</t>
        </is>
      </c>
      <c r="C397" s="15" t="inlineStr">
        <is>
          <t>TC-194</t>
        </is>
      </c>
      <c r="D397" s="15" t="inlineStr">
        <is>
          <t>PLT</t>
        </is>
      </c>
      <c r="E397" s="16" t="inlineStr">
        <is>
          <t>statusColour: maps statuses to the tag colour of their stage</t>
        </is>
      </c>
      <c r="F397" s="16" t="inlineStr">
        <is>
          <t>Developer / CI</t>
        </is>
      </c>
      <c r="G397" s="16" t="inlineStr">
        <is>
          <t>1. Run `npm test -w apps/web` (Vitest, Testing Library, jsdom)
2. Locate 'statusColour maps statuses to the tag colour of their stage' in the run output</t>
        </is>
      </c>
      <c r="H397" s="16" t="inlineStr">
        <is>
          <t>Fixtures defined in utils/status.test.ts</t>
        </is>
      </c>
      <c r="I397" s="16" t="inlineStr">
        <is>
          <t>The test passes: statusColour maps statuses to the tag colour of their stage.</t>
        </is>
      </c>
      <c r="J397" s="15" t="inlineStr">
        <is>
          <t>Unit</t>
        </is>
      </c>
      <c r="K397" s="16" t="inlineStr">
        <is>
          <t>Automated – utils/status.test.ts</t>
        </is>
      </c>
      <c r="L397" s="17" t="inlineStr">
        <is>
          <t>Passed</t>
        </is>
      </c>
      <c r="M397" s="16" t="inlineStr">
        <is>
          <t>web-unit-tests.json: 'statusColour maps statuses to the tag colour of their stage' passed (2 Oct 2026 14:56 UTC); test-reruns.json: passed (2 Oct 2026 21:45 UTC)</t>
        </is>
      </c>
      <c r="N397" s="16" t="inlineStr">
        <is>
          <t>2 Oct 2026 21:45 UTC</t>
        </is>
      </c>
      <c r="O397" s="16" t="inlineStr">
        <is>
          <t>iorta QA (Vitest)</t>
        </is>
      </c>
      <c r="P397" s="16" t="inlineStr"/>
    </row>
    <row r="398">
      <c r="A398" s="15" t="inlineStr">
        <is>
          <t>CS-0397</t>
        </is>
      </c>
      <c r="B398" s="15" t="inlineStr">
        <is>
          <t>TS-70</t>
        </is>
      </c>
      <c r="C398" s="15" t="inlineStr">
        <is>
          <t>TC-195</t>
        </is>
      </c>
      <c r="D398" s="15" t="inlineStr">
        <is>
          <t>PLT</t>
        </is>
      </c>
      <c r="E398" s="16" t="inlineStr">
        <is>
          <t>CellText: shows a dash when there is no text</t>
        </is>
      </c>
      <c r="F398" s="16" t="inlineStr">
        <is>
          <t>Developer / CI</t>
        </is>
      </c>
      <c r="G398" s="16" t="inlineStr">
        <is>
          <t>1. Run `npm test -w apps/web` (Vitest, Testing Library, jsdom)
2. Locate 'CellText shows a dash when there is no text' in the run output</t>
        </is>
      </c>
      <c r="H398" s="16" t="inlineStr">
        <is>
          <t>Fixtures defined in components/admin/CellText.test.tsx</t>
        </is>
      </c>
      <c r="I398" s="16" t="inlineStr">
        <is>
          <t>The test passes: CellText shows a dash when there is no text.</t>
        </is>
      </c>
      <c r="J398" s="15" t="inlineStr">
        <is>
          <t>Unit</t>
        </is>
      </c>
      <c r="K398" s="16" t="inlineStr">
        <is>
          <t>Automated – components/admin/CellText.test.tsx</t>
        </is>
      </c>
      <c r="L398" s="17" t="inlineStr">
        <is>
          <t>Passed</t>
        </is>
      </c>
      <c r="M398" s="16" t="inlineStr">
        <is>
          <t>web-unit-tests.json: 'CellText shows a dash when there is no text' passed (2 Oct 2026 14:56 UTC); test-reruns.json: passed (2 Oct 2026 21:45 UTC)</t>
        </is>
      </c>
      <c r="N398" s="16" t="inlineStr">
        <is>
          <t>2 Oct 2026 21:45 UTC</t>
        </is>
      </c>
      <c r="O398" s="16" t="inlineStr">
        <is>
          <t>iorta QA (Vitest)</t>
        </is>
      </c>
      <c r="P398" s="16" t="inlineStr"/>
    </row>
    <row r="399">
      <c r="A399" s="15" t="inlineStr">
        <is>
          <t>CS-0398</t>
        </is>
      </c>
      <c r="B399" s="15" t="inlineStr">
        <is>
          <t>TS-70</t>
        </is>
      </c>
      <c r="C399" s="15" t="inlineStr">
        <is>
          <t>TC-195</t>
        </is>
      </c>
      <c r="D399" s="15" t="inlineStr">
        <is>
          <t>PLT</t>
        </is>
      </c>
      <c r="E399" s="16" t="inlineStr">
        <is>
          <t>CellText: shows the text within the given width</t>
        </is>
      </c>
      <c r="F399" s="16" t="inlineStr">
        <is>
          <t>Developer / CI</t>
        </is>
      </c>
      <c r="G399" s="16" t="inlineStr">
        <is>
          <t>1. Run `npm test -w apps/web` (Vitest, Testing Library, jsdom)
2. Locate 'CellText shows the text within the given width' in the run output</t>
        </is>
      </c>
      <c r="H399" s="16" t="inlineStr">
        <is>
          <t>Fixtures defined in components/admin/CellText.test.tsx</t>
        </is>
      </c>
      <c r="I399" s="16" t="inlineStr">
        <is>
          <t>The test passes: CellText shows the text within the given width.</t>
        </is>
      </c>
      <c r="J399" s="15" t="inlineStr">
        <is>
          <t>Unit</t>
        </is>
      </c>
      <c r="K399" s="16" t="inlineStr">
        <is>
          <t>Automated – components/admin/CellText.test.tsx</t>
        </is>
      </c>
      <c r="L399" s="17" t="inlineStr">
        <is>
          <t>Passed</t>
        </is>
      </c>
      <c r="M399" s="16" t="inlineStr">
        <is>
          <t>web-unit-tests.json: 'CellText shows the text within the given width' passed (2 Oct 2026 14:56 UTC); test-reruns.json: passed (2 Oct 2026 21:45 UTC)</t>
        </is>
      </c>
      <c r="N399" s="16" t="inlineStr">
        <is>
          <t>2 Oct 2026 21:45 UTC</t>
        </is>
      </c>
      <c r="O399" s="16" t="inlineStr">
        <is>
          <t>iorta QA (Vitest)</t>
        </is>
      </c>
      <c r="P399" s="16" t="inlineStr"/>
    </row>
    <row r="400">
      <c r="A400" s="15" t="inlineStr">
        <is>
          <t>CS-0399</t>
        </is>
      </c>
      <c r="B400" s="15" t="inlineStr">
        <is>
          <t>TS-70</t>
        </is>
      </c>
      <c r="C400" s="15" t="inlineStr">
        <is>
          <t>TC-195</t>
        </is>
      </c>
      <c r="D400" s="15" t="inlineStr">
        <is>
          <t>PLT</t>
        </is>
      </c>
      <c r="E400" s="16" t="inlineStr">
        <is>
          <t>FieldGrid: pairs each label with its value</t>
        </is>
      </c>
      <c r="F400" s="16" t="inlineStr">
        <is>
          <t>Developer / CI</t>
        </is>
      </c>
      <c r="G400" s="16" t="inlineStr">
        <is>
          <t>1. Run `npm test -w apps/web` (Vitest, Testing Library, jsdom)
2. Locate 'FieldGrid pairs each label with its value' in the run output</t>
        </is>
      </c>
      <c r="H400" s="16" t="inlineStr">
        <is>
          <t>Fixtures defined in components/FieldGrid.test.tsx</t>
        </is>
      </c>
      <c r="I400" s="16" t="inlineStr">
        <is>
          <t>The test passes: FieldGrid pairs each label with its value.</t>
        </is>
      </c>
      <c r="J400" s="15" t="inlineStr">
        <is>
          <t>Unit</t>
        </is>
      </c>
      <c r="K400" s="16" t="inlineStr">
        <is>
          <t>Automated – components/FieldGrid.test.tsx</t>
        </is>
      </c>
      <c r="L400" s="17" t="inlineStr">
        <is>
          <t>Passed</t>
        </is>
      </c>
      <c r="M400" s="16" t="inlineStr">
        <is>
          <t>test-reruns.json: 'FieldGrid pairs each label with its value' passed (2 Oct 2026 21:45 UTC)</t>
        </is>
      </c>
      <c r="N400" s="16" t="inlineStr">
        <is>
          <t>2 Oct 2026 21:45 UTC</t>
        </is>
      </c>
      <c r="O400" s="16" t="inlineStr">
        <is>
          <t>iorta QA (Vitest)</t>
        </is>
      </c>
      <c r="P400" s="16" t="inlineStr"/>
    </row>
    <row r="401">
      <c r="A401" s="15" t="inlineStr">
        <is>
          <t>CS-0400</t>
        </is>
      </c>
      <c r="B401" s="15" t="inlineStr">
        <is>
          <t>TS-70</t>
        </is>
      </c>
      <c r="C401" s="15" t="inlineStr">
        <is>
          <t>TC-195</t>
        </is>
      </c>
      <c r="D401" s="15" t="inlineStr">
        <is>
          <t>PLT</t>
        </is>
      </c>
      <c r="E401" s="16" t="inlineStr">
        <is>
          <t>FieldGrid: shows a dash for empty values and skips conditional items</t>
        </is>
      </c>
      <c r="F401" s="16" t="inlineStr">
        <is>
          <t>Developer / CI</t>
        </is>
      </c>
      <c r="G401" s="16" t="inlineStr">
        <is>
          <t>1. Run `npm test -w apps/web` (Vitest, Testing Library, jsdom)
2. Locate 'FieldGrid shows a dash for empty values and skips conditional items' in the run output</t>
        </is>
      </c>
      <c r="H401" s="16" t="inlineStr">
        <is>
          <t>Fixtures defined in components/FieldGrid.test.tsx</t>
        </is>
      </c>
      <c r="I401" s="16" t="inlineStr">
        <is>
          <t>The test passes: FieldGrid shows a dash for empty values and skips conditional items.</t>
        </is>
      </c>
      <c r="J401" s="15" t="inlineStr">
        <is>
          <t>Unit</t>
        </is>
      </c>
      <c r="K401" s="16" t="inlineStr">
        <is>
          <t>Automated – components/FieldGrid.test.tsx</t>
        </is>
      </c>
      <c r="L401" s="17" t="inlineStr">
        <is>
          <t>Passed</t>
        </is>
      </c>
      <c r="M401" s="16" t="inlineStr">
        <is>
          <t>test-reruns.json: 'FieldGrid shows a dash for empty values and skips conditional items' passed (2 Oct 2026 21:45 UTC)</t>
        </is>
      </c>
      <c r="N401" s="16" t="inlineStr">
        <is>
          <t>2 Oct 2026 21:45 UTC</t>
        </is>
      </c>
      <c r="O401" s="16" t="inlineStr">
        <is>
          <t>iorta QA (Vitest)</t>
        </is>
      </c>
      <c r="P401" s="16" t="inlineStr"/>
    </row>
    <row r="402">
      <c r="A402" s="15" t="inlineStr">
        <is>
          <t>CS-0401</t>
        </is>
      </c>
      <c r="B402" s="15" t="inlineStr">
        <is>
          <t>TS-70</t>
        </is>
      </c>
      <c r="C402" s="15" t="inlineStr">
        <is>
          <t>TC-195</t>
        </is>
      </c>
      <c r="D402" s="15" t="inlineStr">
        <is>
          <t>PLT</t>
        </is>
      </c>
      <c r="E402" s="16" t="inlineStr">
        <is>
          <t>FieldGrid: widens full-width fields across the grid</t>
        </is>
      </c>
      <c r="F402" s="16" t="inlineStr">
        <is>
          <t>Developer / CI</t>
        </is>
      </c>
      <c r="G402" s="16" t="inlineStr">
        <is>
          <t>1. Run `npm test -w apps/web` (Vitest, Testing Library, jsdom)
2. Locate 'FieldGrid widens full-width fields across the grid' in the run output</t>
        </is>
      </c>
      <c r="H402" s="16" t="inlineStr">
        <is>
          <t>Fixtures defined in components/FieldGrid.test.tsx</t>
        </is>
      </c>
      <c r="I402" s="16" t="inlineStr">
        <is>
          <t>The test passes: FieldGrid widens full-width fields across the grid.</t>
        </is>
      </c>
      <c r="J402" s="15" t="inlineStr">
        <is>
          <t>Unit</t>
        </is>
      </c>
      <c r="K402" s="16" t="inlineStr">
        <is>
          <t>Automated – components/FieldGrid.test.tsx</t>
        </is>
      </c>
      <c r="L402" s="17" t="inlineStr">
        <is>
          <t>Passed</t>
        </is>
      </c>
      <c r="M402" s="16" t="inlineStr">
        <is>
          <t>test-reruns.json: 'FieldGrid widens full-width fields across the grid' passed (2 Oct 2026 21:45 UTC)</t>
        </is>
      </c>
      <c r="N402" s="16" t="inlineStr">
        <is>
          <t>2 Oct 2026 21:45 UTC</t>
        </is>
      </c>
      <c r="O402" s="16" t="inlineStr">
        <is>
          <t>iorta QA (Vitest)</t>
        </is>
      </c>
      <c r="P402" s="16" t="inlineStr"/>
    </row>
    <row r="403">
      <c r="A403" s="15" t="inlineStr">
        <is>
          <t>CS-0402</t>
        </is>
      </c>
      <c r="B403" s="15" t="inlineStr">
        <is>
          <t>TS-70</t>
        </is>
      </c>
      <c r="C403" s="15" t="inlineStr">
        <is>
          <t>TC-195</t>
        </is>
      </c>
      <c r="D403" s="15" t="inlineStr">
        <is>
          <t>PLT</t>
        </is>
      </c>
      <c r="E403" s="16" t="inlineStr">
        <is>
          <t>PageHeader: leaves out the facts row when there are none</t>
        </is>
      </c>
      <c r="F403" s="16" t="inlineStr">
        <is>
          <t>Developer / CI</t>
        </is>
      </c>
      <c r="G403" s="16" t="inlineStr">
        <is>
          <t>1. Run `npm test -w apps/web` (Vitest, Testing Library, jsdom)
2. Locate 'PageHeader leaves out the facts row when there are none' in the run output</t>
        </is>
      </c>
      <c r="H403" s="16" t="inlineStr">
        <is>
          <t>Fixtures defined in components/PageHeader.test.tsx</t>
        </is>
      </c>
      <c r="I403" s="16" t="inlineStr">
        <is>
          <t>The test passes: PageHeader leaves out the facts row when there are none.</t>
        </is>
      </c>
      <c r="J403" s="15" t="inlineStr">
        <is>
          <t>Unit</t>
        </is>
      </c>
      <c r="K403" s="16" t="inlineStr">
        <is>
          <t>Automated – components/PageHeader.test.tsx</t>
        </is>
      </c>
      <c r="L403" s="17" t="inlineStr">
        <is>
          <t>Passed</t>
        </is>
      </c>
      <c r="M403" s="16" t="inlineStr">
        <is>
          <t>test-reruns.json: 'PageHeader leaves out the facts row when there are none' passed (2 Oct 2026 21:45 UTC)</t>
        </is>
      </c>
      <c r="N403" s="16" t="inlineStr">
        <is>
          <t>2 Oct 2026 21:45 UTC</t>
        </is>
      </c>
      <c r="O403" s="16" t="inlineStr">
        <is>
          <t>iorta QA (Vitest)</t>
        </is>
      </c>
      <c r="P403" s="16" t="inlineStr"/>
    </row>
    <row r="404">
      <c r="A404" s="15" t="inlineStr">
        <is>
          <t>CS-0403</t>
        </is>
      </c>
      <c r="B404" s="15" t="inlineStr">
        <is>
          <t>TS-70</t>
        </is>
      </c>
      <c r="C404" s="15" t="inlineStr">
        <is>
          <t>TC-195</t>
        </is>
      </c>
      <c r="D404" s="15" t="inlineStr">
        <is>
          <t>PLT</t>
        </is>
      </c>
      <c r="E404" s="16" t="inlineStr">
        <is>
          <t>PageHeader: shows the breadcrumb, title, status tags and key facts</t>
        </is>
      </c>
      <c r="F404" s="16" t="inlineStr">
        <is>
          <t>Developer / CI</t>
        </is>
      </c>
      <c r="G404" s="16" t="inlineStr">
        <is>
          <t>1. Run `npm test -w apps/web` (Vitest, Testing Library, jsdom)
2. Locate 'PageHeader shows the breadcrumb, title, status tags and key facts' in the run output</t>
        </is>
      </c>
      <c r="H404" s="16" t="inlineStr">
        <is>
          <t>Fixtures defined in components/PageHeader.test.tsx</t>
        </is>
      </c>
      <c r="I404" s="16" t="inlineStr">
        <is>
          <t>The test passes: PageHeader shows the breadcrumb, title, status tags and key facts.</t>
        </is>
      </c>
      <c r="J404" s="15" t="inlineStr">
        <is>
          <t>Unit</t>
        </is>
      </c>
      <c r="K404" s="16" t="inlineStr">
        <is>
          <t>Automated – components/PageHeader.test.tsx</t>
        </is>
      </c>
      <c r="L404" s="17" t="inlineStr">
        <is>
          <t>Passed</t>
        </is>
      </c>
      <c r="M404" s="16" t="inlineStr">
        <is>
          <t>test-reruns.json: 'PageHeader shows the breadcrumb, title, status tags and key facts' passed (2 Oct 2026 21:45 UTC)</t>
        </is>
      </c>
      <c r="N404" s="16" t="inlineStr">
        <is>
          <t>2 Oct 2026 21:45 UTC</t>
        </is>
      </c>
      <c r="O404" s="16" t="inlineStr">
        <is>
          <t>iorta QA (Vitest)</t>
        </is>
      </c>
      <c r="P404" s="16" t="inlineStr"/>
    </row>
    <row r="405">
      <c r="A405" s="15" t="inlineStr">
        <is>
          <t>CS-0404</t>
        </is>
      </c>
      <c r="B405" s="15" t="inlineStr">
        <is>
          <t>TS-70</t>
        </is>
      </c>
      <c r="C405" s="15" t="inlineStr">
        <is>
          <t>TC-195</t>
        </is>
      </c>
      <c r="D405" s="15" t="inlineStr">
        <is>
          <t>PLT</t>
        </is>
      </c>
      <c r="E405" s="16" t="inlineStr">
        <is>
          <t>PaymentList: starts filtered by the status in the URL</t>
        </is>
      </c>
      <c r="F405" s="16" t="inlineStr">
        <is>
          <t>Developer / CI</t>
        </is>
      </c>
      <c r="G405" s="16" t="inlineStr">
        <is>
          <t>1. Run `npm test -w apps/web` (Vitest, Testing Library, jsdom)
2. Locate 'PaymentList starts filtered by the status in the URL' in the run output</t>
        </is>
      </c>
      <c r="H405" s="16" t="inlineStr">
        <is>
          <t>Fixtures defined in components/sales/PaymentList.test.tsx</t>
        </is>
      </c>
      <c r="I405" s="16" t="inlineStr">
        <is>
          <t>The test passes: PaymentList starts filtered by the status in the URL.</t>
        </is>
      </c>
      <c r="J405" s="15" t="inlineStr">
        <is>
          <t>Unit</t>
        </is>
      </c>
      <c r="K405" s="16" t="inlineStr">
        <is>
          <t>Automated – components/sales/PaymentList.test.tsx</t>
        </is>
      </c>
      <c r="L405" s="17" t="inlineStr">
        <is>
          <t>Passed</t>
        </is>
      </c>
      <c r="M405" s="16" t="inlineStr">
        <is>
          <t>web-unit-tests.json: 'PaymentList starts filtered by the status in the URL' passed (2 Oct 2026 14:56 UTC); test-reruns.json: passed (2 Oct 2026 21:45 UTC)</t>
        </is>
      </c>
      <c r="N405" s="16" t="inlineStr">
        <is>
          <t>2 Oct 2026 21:45 UTC</t>
        </is>
      </c>
      <c r="O405" s="16" t="inlineStr">
        <is>
          <t>iorta QA (Vitest)</t>
        </is>
      </c>
      <c r="P405" s="16" t="inlineStr"/>
    </row>
    <row r="406">
      <c r="A406" s="15" t="inlineStr">
        <is>
          <t>CS-0405</t>
        </is>
      </c>
      <c r="B406" s="15" t="inlineStr">
        <is>
          <t>TS-70</t>
        </is>
      </c>
      <c r="C406" s="15" t="inlineStr">
        <is>
          <t>TC-195</t>
        </is>
      </c>
      <c r="D406" s="15" t="inlineStr">
        <is>
          <t>PLT</t>
        </is>
      </c>
      <c r="E406" s="16" t="inlineStr">
        <is>
          <t>formatTerm: shows whole years in years and anything else in months</t>
        </is>
      </c>
      <c r="F406" s="16" t="inlineStr">
        <is>
          <t>Developer / CI</t>
        </is>
      </c>
      <c r="G406" s="16" t="inlineStr">
        <is>
          <t>1. Run `npm test -w apps/web` (Vitest, Testing Library, jsdom)
2. Locate 'formatTerm shows whole years in years and anything else in months' in the run output</t>
        </is>
      </c>
      <c r="H406" s="16" t="inlineStr">
        <is>
          <t>Fixtures defined in components/sales/options.test.ts</t>
        </is>
      </c>
      <c r="I406" s="16" t="inlineStr">
        <is>
          <t>The test passes: formatTerm shows whole years in years and anything else in months.</t>
        </is>
      </c>
      <c r="J406" s="15" t="inlineStr">
        <is>
          <t>Unit</t>
        </is>
      </c>
      <c r="K406" s="16" t="inlineStr">
        <is>
          <t>Automated – components/sales/options.test.ts</t>
        </is>
      </c>
      <c r="L406" s="17" t="inlineStr">
        <is>
          <t>Passed</t>
        </is>
      </c>
      <c r="M406" s="16" t="inlineStr">
        <is>
          <t>web-unit-tests.json: 'formatTerm shows whole years in years and anything else in months' passed (2 Oct 2026 14:56 UTC); test-reruns.json: passed (2 Oct 2026 21:45 UTC)</t>
        </is>
      </c>
      <c r="N406" s="16" t="inlineStr">
        <is>
          <t>2 Oct 2026 21:45 UTC</t>
        </is>
      </c>
      <c r="O406" s="16" t="inlineStr">
        <is>
          <t>iorta QA (Vitest)</t>
        </is>
      </c>
      <c r="P406" s="16" t="inlineStr"/>
    </row>
    <row r="407">
      <c r="A407" s="15" t="inlineStr">
        <is>
          <t>CS-0406</t>
        </is>
      </c>
      <c r="B407" s="15" t="inlineStr">
        <is>
          <t>TS-70</t>
        </is>
      </c>
      <c r="C407" s="15" t="inlineStr">
        <is>
          <t>TC-195</t>
        </is>
      </c>
      <c r="D407" s="15" t="inlineStr">
        <is>
          <t>PLT</t>
        </is>
      </c>
      <c r="E407" s="16" t="inlineStr">
        <is>
          <t>formatValue: formats ISO dates and timestamps</t>
        </is>
      </c>
      <c r="F407" s="16" t="inlineStr">
        <is>
          <t>Developer / CI</t>
        </is>
      </c>
      <c r="G407" s="16" t="inlineStr">
        <is>
          <t>1. Run `npm test -w apps/web` (Vitest, Testing Library, jsdom)
2. Locate 'formatValue formats ISO dates and timestamps' in the run output</t>
        </is>
      </c>
      <c r="H407" s="16" t="inlineStr">
        <is>
          <t>Fixtures defined in components/admin/values.test.ts</t>
        </is>
      </c>
      <c r="I407" s="16" t="inlineStr">
        <is>
          <t>The test passes: formatValue formats ISO dates and timestamps.</t>
        </is>
      </c>
      <c r="J407" s="15" t="inlineStr">
        <is>
          <t>Unit</t>
        </is>
      </c>
      <c r="K407" s="16" t="inlineStr">
        <is>
          <t>Automated – components/admin/values.test.ts</t>
        </is>
      </c>
      <c r="L407" s="17" t="inlineStr">
        <is>
          <t>Passed</t>
        </is>
      </c>
      <c r="M407" s="16" t="inlineStr">
        <is>
          <t>web-unit-tests.json: 'formatValue formats ISO dates and timestamps' passed (2 Oct 2026 14:56 UTC); test-reruns.json: passed (2 Oct 2026 21:45 UTC)</t>
        </is>
      </c>
      <c r="N407" s="16" t="inlineStr">
        <is>
          <t>2 Oct 2026 21:45 UTC</t>
        </is>
      </c>
      <c r="O407" s="16" t="inlineStr">
        <is>
          <t>iorta QA (Vitest)</t>
        </is>
      </c>
      <c r="P407" s="16" t="inlineStr"/>
    </row>
    <row r="408">
      <c r="A408" s="15" t="inlineStr">
        <is>
          <t>CS-0407</t>
        </is>
      </c>
      <c r="B408" s="15" t="inlineStr">
        <is>
          <t>TS-70</t>
        </is>
      </c>
      <c r="C408" s="15" t="inlineStr">
        <is>
          <t>TC-195</t>
        </is>
      </c>
      <c r="D408" s="15" t="inlineStr">
        <is>
          <t>PLT</t>
        </is>
      </c>
      <c r="E408" s="16" t="inlineStr">
        <is>
          <t>formatValue: formats numeric values of amount-like keys as money</t>
        </is>
      </c>
      <c r="F408" s="16" t="inlineStr">
        <is>
          <t>Developer / CI</t>
        </is>
      </c>
      <c r="G408" s="16" t="inlineStr">
        <is>
          <t>1. Run `npm test -w apps/web` (Vitest, Testing Library, jsdom)
2. Locate 'formatValue formats numeric values of amount-like keys as money' in the run output</t>
        </is>
      </c>
      <c r="H408" s="16" t="inlineStr">
        <is>
          <t>Fixtures defined in components/admin/values.test.ts</t>
        </is>
      </c>
      <c r="I408" s="16" t="inlineStr">
        <is>
          <t>The test passes: formatValue formats numeric values of amount-like keys as money.</t>
        </is>
      </c>
      <c r="J408" s="15" t="inlineStr">
        <is>
          <t>Unit</t>
        </is>
      </c>
      <c r="K408" s="16" t="inlineStr">
        <is>
          <t>Automated – components/admin/values.test.ts</t>
        </is>
      </c>
      <c r="L408" s="17" t="inlineStr">
        <is>
          <t>Passed</t>
        </is>
      </c>
      <c r="M408" s="16" t="inlineStr">
        <is>
          <t>web-unit-tests.json: 'formatValue formats numeric values of amount-like keys as money' passed (2 Oct 2026 14:56 UTC); test-reruns.json: passed (2 Oct 2026 21:45 UTC)</t>
        </is>
      </c>
      <c r="N408" s="16" t="inlineStr">
        <is>
          <t>2 Oct 2026 21:45 UTC</t>
        </is>
      </c>
      <c r="O408" s="16" t="inlineStr">
        <is>
          <t>iorta QA (Vitest)</t>
        </is>
      </c>
      <c r="P408" s="16" t="inlineStr"/>
    </row>
    <row r="409">
      <c r="A409" s="15" t="inlineStr">
        <is>
          <t>CS-0408</t>
        </is>
      </c>
      <c r="B409" s="15" t="inlineStr">
        <is>
          <t>TS-70</t>
        </is>
      </c>
      <c r="C409" s="15" t="inlineStr">
        <is>
          <t>TC-195</t>
        </is>
      </c>
      <c r="D409" s="15" t="inlineStr">
        <is>
          <t>PLT</t>
        </is>
      </c>
      <c r="E409" s="16" t="inlineStr">
        <is>
          <t>formatValue: humanises enum codes that contain underscores or sit under an enum-like key</t>
        </is>
      </c>
      <c r="F409" s="16" t="inlineStr">
        <is>
          <t>Developer / CI</t>
        </is>
      </c>
      <c r="G409" s="16" t="inlineStr">
        <is>
          <t>1. Run `npm test -w apps/web` (Vitest, Testing Library, jsdom)
2. Locate 'formatValue humanises enum codes that contain underscores or sit under an enum-like key' in the run output</t>
        </is>
      </c>
      <c r="H409" s="16" t="inlineStr">
        <is>
          <t>Fixtures defined in components/admin/values.test.ts</t>
        </is>
      </c>
      <c r="I409" s="16" t="inlineStr">
        <is>
          <t>The test passes: formatValue humanises enum codes that contain underscores or sit under an enum-like key.</t>
        </is>
      </c>
      <c r="J409" s="15" t="inlineStr">
        <is>
          <t>Unit</t>
        </is>
      </c>
      <c r="K409" s="16" t="inlineStr">
        <is>
          <t>Automated – components/admin/values.test.ts</t>
        </is>
      </c>
      <c r="L409" s="17" t="inlineStr">
        <is>
          <t>Passed</t>
        </is>
      </c>
      <c r="M409" s="16" t="inlineStr">
        <is>
          <t>web-unit-tests.json: 'formatValue humanises enum codes that contain underscores or sit under an enum-like key' passed (2 Oct 2026 14:56 UTC); test-reruns.json: passed (2 Oct 2026 21:45 UTC)</t>
        </is>
      </c>
      <c r="N409" s="16" t="inlineStr">
        <is>
          <t>2 Oct 2026 21:45 UTC</t>
        </is>
      </c>
      <c r="O409" s="16" t="inlineStr">
        <is>
          <t>iorta QA (Vitest)</t>
        </is>
      </c>
      <c r="P409" s="16" t="inlineStr"/>
    </row>
    <row r="410">
      <c r="A410" s="15" t="inlineStr">
        <is>
          <t>CS-0409</t>
        </is>
      </c>
      <c r="B410" s="15" t="inlineStr">
        <is>
          <t>TS-70</t>
        </is>
      </c>
      <c r="C410" s="15" t="inlineStr">
        <is>
          <t>TC-195</t>
        </is>
      </c>
      <c r="D410" s="15" t="inlineStr">
        <is>
          <t>PLT</t>
        </is>
      </c>
      <c r="E410" s="16" t="inlineStr">
        <is>
          <t>formatValue: serialises nested values as JSON</t>
        </is>
      </c>
      <c r="F410" s="16" t="inlineStr">
        <is>
          <t>Developer / CI</t>
        </is>
      </c>
      <c r="G410" s="16" t="inlineStr">
        <is>
          <t>1. Run `npm test -w apps/web` (Vitest, Testing Library, jsdom)
2. Locate 'formatValue serialises nested values as JSON' in the run output</t>
        </is>
      </c>
      <c r="H410" s="16" t="inlineStr">
        <is>
          <t>Fixtures defined in components/admin/values.test.ts</t>
        </is>
      </c>
      <c r="I410" s="16" t="inlineStr">
        <is>
          <t>The test passes: formatValue serialises nested values as JSON.</t>
        </is>
      </c>
      <c r="J410" s="15" t="inlineStr">
        <is>
          <t>Unit</t>
        </is>
      </c>
      <c r="K410" s="16" t="inlineStr">
        <is>
          <t>Automated – components/admin/values.test.ts</t>
        </is>
      </c>
      <c r="L410" s="17" t="inlineStr">
        <is>
          <t>Passed</t>
        </is>
      </c>
      <c r="M410" s="16" t="inlineStr">
        <is>
          <t>web-unit-tests.json: 'formatValue serialises nested values as JSON' passed (2 Oct 2026 14:56 UTC); test-reruns.json: passed (2 Oct 2026 21:45 UTC)</t>
        </is>
      </c>
      <c r="N410" s="16" t="inlineStr">
        <is>
          <t>2 Oct 2026 21:45 UTC</t>
        </is>
      </c>
      <c r="O410" s="16" t="inlineStr">
        <is>
          <t>iorta QA (Vitest)</t>
        </is>
      </c>
      <c r="P410" s="16" t="inlineStr"/>
    </row>
    <row r="411">
      <c r="A411" s="15" t="inlineStr">
        <is>
          <t>CS-0410</t>
        </is>
      </c>
      <c r="B411" s="15" t="inlineStr">
        <is>
          <t>TS-70</t>
        </is>
      </c>
      <c r="C411" s="15" t="inlineStr">
        <is>
          <t>TC-195</t>
        </is>
      </c>
      <c r="D411" s="15" t="inlineStr">
        <is>
          <t>PLT</t>
        </is>
      </c>
      <c r="E411" s="16" t="inlineStr">
        <is>
          <t>formatValue: shows a dash for empty values and Yes/No for booleans</t>
        </is>
      </c>
      <c r="F411" s="16" t="inlineStr">
        <is>
          <t>Developer / CI</t>
        </is>
      </c>
      <c r="G411" s="16" t="inlineStr">
        <is>
          <t>1. Run `npm test -w apps/web` (Vitest, Testing Library, jsdom)
2. Locate 'formatValue shows a dash for empty values and Yes/No for booleans' in the run output</t>
        </is>
      </c>
      <c r="H411" s="16" t="inlineStr">
        <is>
          <t>Fixtures defined in components/admin/values.test.ts</t>
        </is>
      </c>
      <c r="I411" s="16" t="inlineStr">
        <is>
          <t>The test passes: formatValue shows a dash for empty values and Yes/No for booleans.</t>
        </is>
      </c>
      <c r="J411" s="15" t="inlineStr">
        <is>
          <t>Unit</t>
        </is>
      </c>
      <c r="K411" s="16" t="inlineStr">
        <is>
          <t>Automated – components/admin/values.test.ts</t>
        </is>
      </c>
      <c r="L411" s="17" t="inlineStr">
        <is>
          <t>Passed</t>
        </is>
      </c>
      <c r="M411" s="16" t="inlineStr">
        <is>
          <t>web-unit-tests.json: 'formatValue shows a dash for empty values and Yes/No for booleans' passed (2 Oct 2026 14:56 UTC); test-reruns.json: passed (2 Oct 2026 21:45 UTC)</t>
        </is>
      </c>
      <c r="N411" s="16" t="inlineStr">
        <is>
          <t>2 Oct 2026 21:45 UTC</t>
        </is>
      </c>
      <c r="O411" s="16" t="inlineStr">
        <is>
          <t>iorta QA (Vitest)</t>
        </is>
      </c>
      <c r="P411" s="16" t="inlineStr"/>
    </row>
    <row r="412">
      <c r="A412" s="15" t="inlineStr">
        <is>
          <t>CS-0411</t>
        </is>
      </c>
      <c r="B412" s="15" t="inlineStr">
        <is>
          <t>TS-70</t>
        </is>
      </c>
      <c r="C412" s="15" t="inlineStr">
        <is>
          <t>TC-195</t>
        </is>
      </c>
      <c r="D412" s="15" t="inlineStr">
        <is>
          <t>PLT</t>
        </is>
      </c>
      <c r="E412" s="16" t="inlineStr">
        <is>
          <t>isHiddenKey: hides optimistic-lock versions and encrypted or hashed values only</t>
        </is>
      </c>
      <c r="F412" s="16" t="inlineStr">
        <is>
          <t>Developer / CI</t>
        </is>
      </c>
      <c r="G412" s="16" t="inlineStr">
        <is>
          <t>1. Run `npm test -w apps/web` (Vitest, Testing Library, jsdom)
2. Locate 'isHiddenKey hides optimistic-lock versions and encrypted or hashed values only' in the run output</t>
        </is>
      </c>
      <c r="H412" s="16" t="inlineStr">
        <is>
          <t>Fixtures defined in components/admin/values.test.ts</t>
        </is>
      </c>
      <c r="I412" s="16" t="inlineStr">
        <is>
          <t>The test passes: isHiddenKey hides optimistic-lock versions and encrypted or hashed values only.</t>
        </is>
      </c>
      <c r="J412" s="15" t="inlineStr">
        <is>
          <t>Unit</t>
        </is>
      </c>
      <c r="K412" s="16" t="inlineStr">
        <is>
          <t>Automated – components/admin/values.test.ts</t>
        </is>
      </c>
      <c r="L412" s="17" t="inlineStr">
        <is>
          <t>Passed</t>
        </is>
      </c>
      <c r="M412" s="16" t="inlineStr">
        <is>
          <t>web-unit-tests.json: 'isHiddenKey hides optimistic-lock versions and encrypted or hashed values only' passed (2 Oct 2026 14:56 UTC); test-reruns.json: passed (2 Oct 2026 21:45 UTC)</t>
        </is>
      </c>
      <c r="N412" s="16" t="inlineStr">
        <is>
          <t>2 Oct 2026 21:45 UTC</t>
        </is>
      </c>
      <c r="O412" s="16" t="inlineStr">
        <is>
          <t>iorta QA (Vitest)</t>
        </is>
      </c>
      <c r="P412" s="16" t="inlineStr"/>
    </row>
    <row r="413">
      <c r="A413" s="15" t="inlineStr">
        <is>
          <t>CS-0412</t>
        </is>
      </c>
      <c r="B413" s="15" t="inlineStr">
        <is>
          <t>TS-70</t>
        </is>
      </c>
      <c r="C413" s="15" t="inlineStr">
        <is>
          <t>TC-195</t>
        </is>
      </c>
      <c r="D413" s="15" t="inlineStr">
        <is>
          <t>PLT</t>
        </is>
      </c>
      <c r="E413" s="16" t="inlineStr">
        <is>
          <t>isRecord: accepts plain objects only</t>
        </is>
      </c>
      <c r="F413" s="16" t="inlineStr">
        <is>
          <t>Developer / CI</t>
        </is>
      </c>
      <c r="G413" s="16" t="inlineStr">
        <is>
          <t>1. Run `npm test -w apps/web` (Vitest, Testing Library, jsdom)
2. Locate 'isRecord accepts plain objects only' in the run output</t>
        </is>
      </c>
      <c r="H413" s="16" t="inlineStr">
        <is>
          <t>Fixtures defined in components/admin/values.test.ts</t>
        </is>
      </c>
      <c r="I413" s="16" t="inlineStr">
        <is>
          <t>The test passes: isRecord accepts plain objects only.</t>
        </is>
      </c>
      <c r="J413" s="15" t="inlineStr">
        <is>
          <t>Unit</t>
        </is>
      </c>
      <c r="K413" s="16" t="inlineStr">
        <is>
          <t>Automated – components/admin/values.test.ts</t>
        </is>
      </c>
      <c r="L413" s="17" t="inlineStr">
        <is>
          <t>Passed</t>
        </is>
      </c>
      <c r="M413" s="16" t="inlineStr">
        <is>
          <t>web-unit-tests.json: 'isRecord accepts plain objects only' passed (2 Oct 2026 14:56 UTC); test-reruns.json: passed (2 Oct 2026 21:45 UTC)</t>
        </is>
      </c>
      <c r="N413" s="16" t="inlineStr">
        <is>
          <t>2 Oct 2026 21:45 UTC</t>
        </is>
      </c>
      <c r="O413" s="16" t="inlineStr">
        <is>
          <t>iorta QA (Vitest)</t>
        </is>
      </c>
      <c r="P413" s="16" t="inlineStr"/>
    </row>
    <row r="414">
      <c r="A414" s="15" t="inlineStr">
        <is>
          <t>CS-0413</t>
        </is>
      </c>
      <c r="B414" s="15" t="inlineStr">
        <is>
          <t>TS-70</t>
        </is>
      </c>
      <c r="C414" s="15" t="inlineStr">
        <is>
          <t>TC-195</t>
        </is>
      </c>
      <c r="D414" s="15" t="inlineStr">
        <is>
          <t>PLT</t>
        </is>
      </c>
      <c r="E414" s="16" t="inlineStr">
        <is>
          <t>keyLabel: uses curated labels where needed and sentence case otherwise</t>
        </is>
      </c>
      <c r="F414" s="16" t="inlineStr">
        <is>
          <t>Developer / CI</t>
        </is>
      </c>
      <c r="G414" s="16" t="inlineStr">
        <is>
          <t>1. Run `npm test -w apps/web` (Vitest, Testing Library, jsdom)
2. Locate 'keyLabel uses curated labels where needed and sentence case otherwise' in the run output</t>
        </is>
      </c>
      <c r="H414" s="16" t="inlineStr">
        <is>
          <t>Fixtures defined in components/admin/values.test.ts</t>
        </is>
      </c>
      <c r="I414" s="16" t="inlineStr">
        <is>
          <t>The test passes: keyLabel uses curated labels where needed and sentence case otherwise.</t>
        </is>
      </c>
      <c r="J414" s="15" t="inlineStr">
        <is>
          <t>Unit</t>
        </is>
      </c>
      <c r="K414" s="16" t="inlineStr">
        <is>
          <t>Automated – components/admin/values.test.ts</t>
        </is>
      </c>
      <c r="L414" s="17" t="inlineStr">
        <is>
          <t>Passed</t>
        </is>
      </c>
      <c r="M414" s="16" t="inlineStr">
        <is>
          <t>web-unit-tests.json: 'keyLabel uses curated labels where needed and sentence case otherwise' passed (2 Oct 2026 14:56 UTC); test-reruns.json: passed (2 Oct 2026 21:45 UTC)</t>
        </is>
      </c>
      <c r="N414" s="16" t="inlineStr">
        <is>
          <t>2 Oct 2026 21:45 UTC</t>
        </is>
      </c>
      <c r="O414" s="16" t="inlineStr">
        <is>
          <t>iorta QA (Vitest)</t>
        </is>
      </c>
      <c r="P414" s="16" t="inlineStr"/>
    </row>
    <row r="415">
      <c r="A415" s="15" t="inlineStr">
        <is>
          <t>CS-0414</t>
        </is>
      </c>
      <c r="B415" s="15" t="inlineStr">
        <is>
          <t>TS-70</t>
        </is>
      </c>
      <c r="C415" s="15" t="inlineStr">
        <is>
          <t>TC-195</t>
        </is>
      </c>
      <c r="D415" s="15" t="inlineStr">
        <is>
          <t>PLT</t>
        </is>
      </c>
      <c r="E415" s="16" t="inlineStr">
        <is>
          <t>nomineeRows: carries the id and masked ID number of existing nominees</t>
        </is>
      </c>
      <c r="F415" s="16" t="inlineStr">
        <is>
          <t>Developer / CI</t>
        </is>
      </c>
      <c r="G415" s="16" t="inlineStr">
        <is>
          <t>1. Run `npm test -w apps/web` (Vitest, Testing Library, jsdom)
2. Locate 'nomineeRows carries the id and masked ID number of existing nominees' in the run output</t>
        </is>
      </c>
      <c r="H415" s="16" t="inlineStr">
        <is>
          <t>Fixtures defined in components/sales/NomineesEditor.test.ts</t>
        </is>
      </c>
      <c r="I415" s="16" t="inlineStr">
        <is>
          <t>The test passes: nomineeRows carries the id and masked ID number of existing nominees.</t>
        </is>
      </c>
      <c r="J415" s="15" t="inlineStr">
        <is>
          <t>Unit</t>
        </is>
      </c>
      <c r="K415" s="16" t="inlineStr">
        <is>
          <t>Automated – components/sales/NomineesEditor.test.ts</t>
        </is>
      </c>
      <c r="L415" s="17" t="inlineStr">
        <is>
          <t>Passed</t>
        </is>
      </c>
      <c r="M415" s="16" t="inlineStr">
        <is>
          <t>web-unit-tests.json: 'nomineeRows carries the id and masked ID number of existing nominees' passed (2 Oct 2026 14:56 UTC); test-reruns.json: passed (2 Oct 2026 21:45 UTC)</t>
        </is>
      </c>
      <c r="N415" s="16" t="inlineStr">
        <is>
          <t>2 Oct 2026 21:45 UTC</t>
        </is>
      </c>
      <c r="O415" s="16" t="inlineStr">
        <is>
          <t>iorta QA (Vitest)</t>
        </is>
      </c>
      <c r="P415" s="16" t="inlineStr"/>
    </row>
    <row r="416">
      <c r="A416" s="15" t="inlineStr">
        <is>
          <t>CS-0415</t>
        </is>
      </c>
      <c r="B416" s="15" t="inlineStr">
        <is>
          <t>TS-70</t>
        </is>
      </c>
      <c r="C416" s="15" t="inlineStr">
        <is>
          <t>TC-195</t>
        </is>
      </c>
      <c r="D416" s="15" t="inlineStr">
        <is>
          <t>PLT</t>
        </is>
      </c>
      <c r="E416" s="16" t="inlineStr">
        <is>
          <t>nomineeRows: converts decimal-string shares to numbers</t>
        </is>
      </c>
      <c r="F416" s="16" t="inlineStr">
        <is>
          <t>Developer / CI</t>
        </is>
      </c>
      <c r="G416" s="16" t="inlineStr">
        <is>
          <t>1. Run `npm test -w apps/web` (Vitest, Testing Library, jsdom)
2. Locate 'nomineeRows converts decimal-string shares to numbers' in the run output</t>
        </is>
      </c>
      <c r="H416" s="16" t="inlineStr">
        <is>
          <t>Fixtures defined in components/sales/NomineesEditor.test.ts</t>
        </is>
      </c>
      <c r="I416" s="16" t="inlineStr">
        <is>
          <t>The test passes: nomineeRows converts decimal-string shares to numbers.</t>
        </is>
      </c>
      <c r="J416" s="15" t="inlineStr">
        <is>
          <t>Unit</t>
        </is>
      </c>
      <c r="K416" s="16" t="inlineStr">
        <is>
          <t>Automated – components/sales/NomineesEditor.test.ts</t>
        </is>
      </c>
      <c r="L416" s="17" t="inlineStr">
        <is>
          <t>Passed</t>
        </is>
      </c>
      <c r="M416" s="16" t="inlineStr">
        <is>
          <t>web-unit-tests.json: 'nomineeRows converts decimal-string shares to numbers' passed (2 Oct 2026 14:56 UTC); test-reruns.json: passed (2 Oct 2026 21:45 UTC)</t>
        </is>
      </c>
      <c r="N416" s="16" t="inlineStr">
        <is>
          <t>2 Oct 2026 21:45 UTC</t>
        </is>
      </c>
      <c r="O416" s="16" t="inlineStr">
        <is>
          <t>iorta QA (Vitest)</t>
        </is>
      </c>
      <c r="P416" s="16" t="inlineStr"/>
    </row>
    <row r="417">
      <c r="A417" s="15" t="inlineStr">
        <is>
          <t>CS-0416</t>
        </is>
      </c>
      <c r="B417" s="15" t="inlineStr">
        <is>
          <t>TS-70</t>
        </is>
      </c>
      <c r="C417" s="15" t="inlineStr">
        <is>
          <t>TC-195</t>
        </is>
      </c>
      <c r="D417" s="15" t="inlineStr">
        <is>
          <t>PLT</t>
        </is>
      </c>
      <c r="E417" s="16" t="inlineStr">
        <is>
          <t>nomineeRows: starts with a single full-share nominee row when there are no nominees</t>
        </is>
      </c>
      <c r="F417" s="16" t="inlineStr">
        <is>
          <t>Developer / CI</t>
        </is>
      </c>
      <c r="G417" s="16" t="inlineStr">
        <is>
          <t>1. Run `npm test -w apps/web` (Vitest, Testing Library, jsdom)
2. Locate 'nomineeRows starts with a single full-share nominee row when there are no nominees' in the run output</t>
        </is>
      </c>
      <c r="H417" s="16" t="inlineStr">
        <is>
          <t>Fixtures defined in components/sales/NomineesEditor.test.ts</t>
        </is>
      </c>
      <c r="I417" s="16" t="inlineStr">
        <is>
          <t>The test passes: nomineeRows starts with a single full-share nominee row when there are no nominees.</t>
        </is>
      </c>
      <c r="J417" s="15" t="inlineStr">
        <is>
          <t>Unit</t>
        </is>
      </c>
      <c r="K417" s="16" t="inlineStr">
        <is>
          <t>Automated – components/sales/NomineesEditor.test.ts</t>
        </is>
      </c>
      <c r="L417" s="17" t="inlineStr">
        <is>
          <t>Passed</t>
        </is>
      </c>
      <c r="M417" s="16" t="inlineStr">
        <is>
          <t>web-unit-tests.json: 'nomineeRows starts with a single full-share nominee row when there are no nominees' passed (2 Oct 2026 14:56 UTC); test-reruns.json: passed (2 Oct 2026 21:45 UTC)</t>
        </is>
      </c>
      <c r="N417" s="16" t="inlineStr">
        <is>
          <t>2 Oct 2026 21:45 UTC</t>
        </is>
      </c>
      <c r="O417" s="16" t="inlineStr">
        <is>
          <t>iorta QA (Vitest)</t>
        </is>
      </c>
      <c r="P417" s="16" t="inlineStr"/>
    </row>
    <row r="418">
      <c r="A418" s="15" t="inlineStr">
        <is>
          <t>CS-0417</t>
        </is>
      </c>
      <c r="B418" s="15" t="inlineStr">
        <is>
          <t>TS-70</t>
        </is>
      </c>
      <c r="C418" s="15" t="inlineStr">
        <is>
          <t>TC-195</t>
        </is>
      </c>
      <c r="D418" s="15" t="inlineStr">
        <is>
          <t>PLT</t>
        </is>
      </c>
      <c r="E418" s="16" t="inlineStr">
        <is>
          <t>notificationPath: keeps links that already point into a module</t>
        </is>
      </c>
      <c r="F418" s="16" t="inlineStr">
        <is>
          <t>Developer / CI</t>
        </is>
      </c>
      <c r="G418" s="16" t="inlineStr">
        <is>
          <t>1. Run `npm test -w apps/web` (Vitest, Testing Library, jsdom)
2. Locate 'notificationPath keeps links that already point into a module' in the run output</t>
        </is>
      </c>
      <c r="H418" s="16" t="inlineStr">
        <is>
          <t>Fixtures defined in components/admin/links.test.ts</t>
        </is>
      </c>
      <c r="I418" s="16" t="inlineStr">
        <is>
          <t>The test passes: notificationPath keeps links that already point into a module.</t>
        </is>
      </c>
      <c r="J418" s="15" t="inlineStr">
        <is>
          <t>Unit</t>
        </is>
      </c>
      <c r="K418" s="16" t="inlineStr">
        <is>
          <t>Automated – components/admin/links.test.ts</t>
        </is>
      </c>
      <c r="L418" s="17" t="inlineStr">
        <is>
          <t>Passed</t>
        </is>
      </c>
      <c r="M418" s="16" t="inlineStr">
        <is>
          <t>web-unit-tests.json: 'notificationPath keeps links that already point into a module' passed (2 Oct 2026 14:56 UTC); test-reruns.json: passed (2 Oct 2026 21:45 UTC)</t>
        </is>
      </c>
      <c r="N418" s="16" t="inlineStr">
        <is>
          <t>2 Oct 2026 21:45 UTC</t>
        </is>
      </c>
      <c r="O418" s="16" t="inlineStr">
        <is>
          <t>iorta QA (Vitest)</t>
        </is>
      </c>
      <c r="P418" s="16" t="inlineStr"/>
    </row>
    <row r="419">
      <c r="A419" s="15" t="inlineStr">
        <is>
          <t>CS-0418</t>
        </is>
      </c>
      <c r="B419" s="15" t="inlineStr">
        <is>
          <t>TS-70</t>
        </is>
      </c>
      <c r="C419" s="15" t="inlineStr">
        <is>
          <t>TC-195</t>
        </is>
      </c>
      <c r="D419" s="15" t="inlineStr">
        <is>
          <t>PLT</t>
        </is>
      </c>
      <c r="E419" s="16" t="inlineStr">
        <is>
          <t>notificationPath: prefixes audience-neutral links with the user module</t>
        </is>
      </c>
      <c r="F419" s="16" t="inlineStr">
        <is>
          <t>Developer / CI</t>
        </is>
      </c>
      <c r="G419" s="16" t="inlineStr">
        <is>
          <t>1. Run `npm test -w apps/web` (Vitest, Testing Library, jsdom)
2. Locate 'notificationPath prefixes audience-neutral links with the user module' in the run output</t>
        </is>
      </c>
      <c r="H419" s="16" t="inlineStr">
        <is>
          <t>Fixtures defined in components/admin/links.test.ts</t>
        </is>
      </c>
      <c r="I419" s="16" t="inlineStr">
        <is>
          <t>The test passes: notificationPath prefixes audience-neutral links with the user module.</t>
        </is>
      </c>
      <c r="J419" s="15" t="inlineStr">
        <is>
          <t>Unit</t>
        </is>
      </c>
      <c r="K419" s="16" t="inlineStr">
        <is>
          <t>Automated – components/admin/links.test.ts</t>
        </is>
      </c>
      <c r="L419" s="17" t="inlineStr">
        <is>
          <t>Passed</t>
        </is>
      </c>
      <c r="M419" s="16" t="inlineStr">
        <is>
          <t>web-unit-tests.json: 'notificationPath prefixes audience-neutral links with the user module' passed (2 Oct 2026 14:56 UTC); test-reruns.json: passed (2 Oct 2026 21:45 UTC)</t>
        </is>
      </c>
      <c r="N419" s="16" t="inlineStr">
        <is>
          <t>2 Oct 2026 21:45 UTC</t>
        </is>
      </c>
      <c r="O419" s="16" t="inlineStr">
        <is>
          <t>iorta QA (Vitest)</t>
        </is>
      </c>
      <c r="P419" s="16" t="inlineStr"/>
    </row>
    <row r="420">
      <c r="A420" s="15" t="inlineStr">
        <is>
          <t>CS-0419</t>
        </is>
      </c>
      <c r="B420" s="15" t="inlineStr">
        <is>
          <t>TS-70</t>
        </is>
      </c>
      <c r="C420" s="15" t="inlineStr">
        <is>
          <t>TC-195</t>
        </is>
      </c>
      <c r="D420" s="15" t="inlineStr">
        <is>
          <t>PLT</t>
        </is>
      </c>
      <c r="E420" s="16" t="inlineStr">
        <is>
          <t>paymentFiltersFromUrl: ignores missing or unknown statuses</t>
        </is>
      </c>
      <c r="F420" s="16" t="inlineStr">
        <is>
          <t>Developer / CI</t>
        </is>
      </c>
      <c r="G420" s="16" t="inlineStr">
        <is>
          <t>1. Run `npm test -w apps/web` (Vitest, Testing Library, jsdom)
2. Locate 'paymentFiltersFromUrl ignores missing or unknown statuses' in the run output</t>
        </is>
      </c>
      <c r="H420" s="16" t="inlineStr">
        <is>
          <t>Fixtures defined in components/sales/PaymentList.test.tsx</t>
        </is>
      </c>
      <c r="I420" s="16" t="inlineStr">
        <is>
          <t>The test passes: paymentFiltersFromUrl ignores missing or unknown statuses.</t>
        </is>
      </c>
      <c r="J420" s="15" t="inlineStr">
        <is>
          <t>Unit</t>
        </is>
      </c>
      <c r="K420" s="16" t="inlineStr">
        <is>
          <t>Automated – components/sales/PaymentList.test.tsx</t>
        </is>
      </c>
      <c r="L420" s="17" t="inlineStr">
        <is>
          <t>Passed</t>
        </is>
      </c>
      <c r="M420" s="16" t="inlineStr">
        <is>
          <t>web-unit-tests.json: 'paymentFiltersFromUrl ignores missing or unknown statuses' passed (2 Oct 2026 14:56 UTC); test-reruns.json: passed (2 Oct 2026 21:45 UTC)</t>
        </is>
      </c>
      <c r="N420" s="16" t="inlineStr">
        <is>
          <t>2 Oct 2026 21:45 UTC</t>
        </is>
      </c>
      <c r="O420" s="16" t="inlineStr">
        <is>
          <t>iorta QA (Vitest)</t>
        </is>
      </c>
      <c r="P420" s="16" t="inlineStr"/>
    </row>
    <row r="421">
      <c r="A421" s="15" t="inlineStr">
        <is>
          <t>CS-0420</t>
        </is>
      </c>
      <c r="B421" s="15" t="inlineStr">
        <is>
          <t>TS-70</t>
        </is>
      </c>
      <c r="C421" s="15" t="inlineStr">
        <is>
          <t>TC-195</t>
        </is>
      </c>
      <c r="D421" s="15" t="inlineStr">
        <is>
          <t>PLT</t>
        </is>
      </c>
      <c r="E421" s="16" t="inlineStr">
        <is>
          <t>paymentFiltersFromUrl: reads a known payment status</t>
        </is>
      </c>
      <c r="F421" s="16" t="inlineStr">
        <is>
          <t>Developer / CI</t>
        </is>
      </c>
      <c r="G421" s="16" t="inlineStr">
        <is>
          <t>1. Run `npm test -w apps/web` (Vitest, Testing Library, jsdom)
2. Locate 'paymentFiltersFromUrl reads a known payment status' in the run output</t>
        </is>
      </c>
      <c r="H421" s="16" t="inlineStr">
        <is>
          <t>Fixtures defined in components/sales/PaymentList.test.tsx</t>
        </is>
      </c>
      <c r="I421" s="16" t="inlineStr">
        <is>
          <t>The test passes: paymentFiltersFromUrl reads a known payment status.</t>
        </is>
      </c>
      <c r="J421" s="15" t="inlineStr">
        <is>
          <t>Unit</t>
        </is>
      </c>
      <c r="K421" s="16" t="inlineStr">
        <is>
          <t>Automated – components/sales/PaymentList.test.tsx</t>
        </is>
      </c>
      <c r="L421" s="17" t="inlineStr">
        <is>
          <t>Passed</t>
        </is>
      </c>
      <c r="M421" s="16" t="inlineStr">
        <is>
          <t>web-unit-tests.json: 'paymentFiltersFromUrl reads a known payment status' passed (2 Oct 2026 14:56 UTC); test-reruns.json: passed (2 Oct 2026 21:45 UTC)</t>
        </is>
      </c>
      <c r="N421" s="16" t="inlineStr">
        <is>
          <t>2 Oct 2026 21:45 UTC</t>
        </is>
      </c>
      <c r="O421" s="16" t="inlineStr">
        <is>
          <t>iorta QA (Vitest)</t>
        </is>
      </c>
      <c r="P421" s="16" t="inlineStr"/>
    </row>
    <row r="422">
      <c r="A422" s="15" t="inlineStr">
        <is>
          <t>CS-0421</t>
        </is>
      </c>
      <c r="B422" s="15" t="inlineStr">
        <is>
          <t>TS-70</t>
        </is>
      </c>
      <c r="C422" s="15" t="inlineStr">
        <is>
          <t>TC-195</t>
        </is>
      </c>
      <c r="D422" s="15" t="inlineStr">
        <is>
          <t>PLT</t>
        </is>
      </c>
      <c r="E422" s="16" t="inlineStr">
        <is>
          <t>policyReference: falls back to the quotation number before issuance</t>
        </is>
      </c>
      <c r="F422" s="16" t="inlineStr">
        <is>
          <t>Developer / CI</t>
        </is>
      </c>
      <c r="G422" s="16" t="inlineStr">
        <is>
          <t>1. Run `npm test -w apps/web` (Vitest, Testing Library, jsdom)
2. Locate 'policyReference falls back to the quotation number before issuance' in the run output</t>
        </is>
      </c>
      <c r="H422" s="16" t="inlineStr">
        <is>
          <t>Fixtures defined in components/sales/options.test.ts</t>
        </is>
      </c>
      <c r="I422" s="16" t="inlineStr">
        <is>
          <t>The test passes: policyReference falls back to the quotation number before issuance.</t>
        </is>
      </c>
      <c r="J422" s="15" t="inlineStr">
        <is>
          <t>Unit</t>
        </is>
      </c>
      <c r="K422" s="16" t="inlineStr">
        <is>
          <t>Automated – components/sales/options.test.ts</t>
        </is>
      </c>
      <c r="L422" s="17" t="inlineStr">
        <is>
          <t>Passed</t>
        </is>
      </c>
      <c r="M422" s="16" t="inlineStr">
        <is>
          <t>web-unit-tests.json: 'policyReference falls back to the quotation number before issuance' passed (2 Oct 2026 14:56 UTC); test-reruns.json: passed (2 Oct 2026 21:45 UTC)</t>
        </is>
      </c>
      <c r="N422" s="16" t="inlineStr">
        <is>
          <t>2 Oct 2026 21:45 UTC</t>
        </is>
      </c>
      <c r="O422" s="16" t="inlineStr">
        <is>
          <t>iorta QA (Vitest)</t>
        </is>
      </c>
      <c r="P422" s="16" t="inlineStr"/>
    </row>
    <row r="423">
      <c r="A423" s="15" t="inlineStr">
        <is>
          <t>CS-0422</t>
        </is>
      </c>
      <c r="B423" s="15" t="inlineStr">
        <is>
          <t>TS-70</t>
        </is>
      </c>
      <c r="C423" s="15" t="inlineStr">
        <is>
          <t>TC-195</t>
        </is>
      </c>
      <c r="D423" s="15" t="inlineStr">
        <is>
          <t>PLT</t>
        </is>
      </c>
      <c r="E423" s="16" t="inlineStr">
        <is>
          <t>policyReference: uses the policy number once the policy is issued</t>
        </is>
      </c>
      <c r="F423" s="16" t="inlineStr">
        <is>
          <t>Developer / CI</t>
        </is>
      </c>
      <c r="G423" s="16" t="inlineStr">
        <is>
          <t>1. Run `npm test -w apps/web` (Vitest, Testing Library, jsdom)
2. Locate 'policyReference uses the policy number once the policy is issued' in the run output</t>
        </is>
      </c>
      <c r="H423" s="16" t="inlineStr">
        <is>
          <t>Fixtures defined in components/sales/options.test.ts</t>
        </is>
      </c>
      <c r="I423" s="16" t="inlineStr">
        <is>
          <t>The test passes: policyReference uses the policy number once the policy is issued.</t>
        </is>
      </c>
      <c r="J423" s="15" t="inlineStr">
        <is>
          <t>Unit</t>
        </is>
      </c>
      <c r="K423" s="16" t="inlineStr">
        <is>
          <t>Automated – components/sales/options.test.ts</t>
        </is>
      </c>
      <c r="L423" s="17" t="inlineStr">
        <is>
          <t>Passed</t>
        </is>
      </c>
      <c r="M423" s="16" t="inlineStr">
        <is>
          <t>web-unit-tests.json: 'policyReference uses the policy number once the policy is issued' passed (2 Oct 2026 14:56 UTC); test-reruns.json: passed (2 Oct 2026 21:45 UTC)</t>
        </is>
      </c>
      <c r="N423" s="16" t="inlineStr">
        <is>
          <t>2 Oct 2026 21:45 UTC</t>
        </is>
      </c>
      <c r="O423" s="16" t="inlineStr">
        <is>
          <t>iorta QA (Vitest)</t>
        </is>
      </c>
      <c r="P423" s="16" t="inlineStr"/>
    </row>
    <row r="424">
      <c r="A424" s="15" t="inlineStr">
        <is>
          <t>CS-0423</t>
        </is>
      </c>
      <c r="B424" s="15" t="inlineStr">
        <is>
          <t>TS-70</t>
        </is>
      </c>
      <c r="C424" s="15" t="inlineStr">
        <is>
          <t>TC-195</t>
        </is>
      </c>
      <c r="D424" s="15" t="inlineStr">
        <is>
          <t>PLT</t>
        </is>
      </c>
      <c r="E424" s="16" t="inlineStr">
        <is>
          <t>recordPath: links to the record page regardless of the entity type spelling</t>
        </is>
      </c>
      <c r="F424" s="16" t="inlineStr">
        <is>
          <t>Developer / CI</t>
        </is>
      </c>
      <c r="G424" s="16" t="inlineStr">
        <is>
          <t>1. Run `npm test -w apps/web` (Vitest, Testing Library, jsdom)
2. Locate 'recordPath links to the record page regardless of the entity type spelling' in the run output</t>
        </is>
      </c>
      <c r="H424" s="16" t="inlineStr">
        <is>
          <t>Fixtures defined in components/admin/links.test.ts</t>
        </is>
      </c>
      <c r="I424" s="16" t="inlineStr">
        <is>
          <t>The test passes: recordPath links to the record page regardless of the entity type spelling.</t>
        </is>
      </c>
      <c r="J424" s="15" t="inlineStr">
        <is>
          <t>Unit</t>
        </is>
      </c>
      <c r="K424" s="16" t="inlineStr">
        <is>
          <t>Automated – components/admin/links.test.ts</t>
        </is>
      </c>
      <c r="L424" s="17" t="inlineStr">
        <is>
          <t>Passed</t>
        </is>
      </c>
      <c r="M424" s="16" t="inlineStr">
        <is>
          <t>web-unit-tests.json: 'recordPath links to the record page regardless of the entity type spelling' passed (2 Oct 2026 14:56 UTC); test-reruns.json: passed (2 Oct 2026 21:45 UTC)</t>
        </is>
      </c>
      <c r="N424" s="16" t="inlineStr">
        <is>
          <t>2 Oct 2026 21:45 UTC</t>
        </is>
      </c>
      <c r="O424" s="16" t="inlineStr">
        <is>
          <t>iorta QA (Vitest)</t>
        </is>
      </c>
      <c r="P424" s="16" t="inlineStr"/>
    </row>
    <row r="425">
      <c r="A425" s="15" t="inlineStr">
        <is>
          <t>CS-0424</t>
        </is>
      </c>
      <c r="B425" s="15" t="inlineStr">
        <is>
          <t>TS-70</t>
        </is>
      </c>
      <c r="C425" s="15" t="inlineStr">
        <is>
          <t>TC-195</t>
        </is>
      </c>
      <c r="D425" s="15" t="inlineStr">
        <is>
          <t>PLT</t>
        </is>
      </c>
      <c r="E425" s="16" t="inlineStr">
        <is>
          <t>recordPath: returns null when the audience has no page for the record or the id is missing</t>
        </is>
      </c>
      <c r="F425" s="16" t="inlineStr">
        <is>
          <t>Developer / CI</t>
        </is>
      </c>
      <c r="G425" s="16" t="inlineStr">
        <is>
          <t>1. Run `npm test -w apps/web` (Vitest, Testing Library, jsdom)
2. Locate 'recordPath returns null when the audience has no page for the record or the id is missing' in the run output</t>
        </is>
      </c>
      <c r="H425" s="16" t="inlineStr">
        <is>
          <t>Fixtures defined in components/admin/links.test.ts</t>
        </is>
      </c>
      <c r="I425" s="16" t="inlineStr">
        <is>
          <t>The test passes: recordPath returns null when the audience has no page for the record or the id is missing.</t>
        </is>
      </c>
      <c r="J425" s="15" t="inlineStr">
        <is>
          <t>Unit</t>
        </is>
      </c>
      <c r="K425" s="16" t="inlineStr">
        <is>
          <t>Automated – components/admin/links.test.ts</t>
        </is>
      </c>
      <c r="L425" s="17" t="inlineStr">
        <is>
          <t>Passed</t>
        </is>
      </c>
      <c r="M425" s="16" t="inlineStr">
        <is>
          <t>web-unit-tests.json: 'recordPath returns null when the audience has no page for the record or the id is missing' passed (2 Oct 2026 14:56 UTC); test-reruns.json: passed (2 Oct 2026 21:45 UTC)</t>
        </is>
      </c>
      <c r="N425" s="16" t="inlineStr">
        <is>
          <t>2 Oct 2026 21:45 UTC</t>
        </is>
      </c>
      <c r="O425" s="16" t="inlineStr">
        <is>
          <t>iorta QA (Vitest)</t>
        </is>
      </c>
      <c r="P425" s="16" t="inlineStr"/>
    </row>
    <row r="426">
      <c r="A426" s="15" t="inlineStr">
        <is>
          <t>CS-0425</t>
        </is>
      </c>
      <c r="B426" s="15" t="inlineStr">
        <is>
          <t>TS-70</t>
        </is>
      </c>
      <c r="C426" s="15" t="inlineStr">
        <is>
          <t>TC-195</t>
        </is>
      </c>
      <c r="D426" s="15" t="inlineStr">
        <is>
          <t>PLT</t>
        </is>
      </c>
      <c r="E426" s="16" t="inlineStr">
        <is>
          <t>recordPath: uses the portal routes for portal users</t>
        </is>
      </c>
      <c r="F426" s="16" t="inlineStr">
        <is>
          <t>Developer / CI</t>
        </is>
      </c>
      <c r="G426" s="16" t="inlineStr">
        <is>
          <t>1. Run `npm test -w apps/web` (Vitest, Testing Library, jsdom)
2. Locate 'recordPath uses the portal routes for portal users' in the run output</t>
        </is>
      </c>
      <c r="H426" s="16" t="inlineStr">
        <is>
          <t>Fixtures defined in components/admin/links.test.ts</t>
        </is>
      </c>
      <c r="I426" s="16" t="inlineStr">
        <is>
          <t>The test passes: recordPath uses the portal routes for portal users.</t>
        </is>
      </c>
      <c r="J426" s="15" t="inlineStr">
        <is>
          <t>Unit</t>
        </is>
      </c>
      <c r="K426" s="16" t="inlineStr">
        <is>
          <t>Automated – components/admin/links.test.ts</t>
        </is>
      </c>
      <c r="L426" s="17" t="inlineStr">
        <is>
          <t>Passed</t>
        </is>
      </c>
      <c r="M426" s="16" t="inlineStr">
        <is>
          <t>web-unit-tests.json: 'recordPath uses the portal routes for portal users' passed (2 Oct 2026 14:56 UTC); test-reruns.json: passed (2 Oct 2026 21:45 UTC)</t>
        </is>
      </c>
      <c r="N426" s="16" t="inlineStr">
        <is>
          <t>2 Oct 2026 21:45 UTC</t>
        </is>
      </c>
      <c r="O426" s="16" t="inlineStr">
        <is>
          <t>iorta QA (Vitest)</t>
        </is>
      </c>
      <c r="P426" s="16" t="inlineStr"/>
    </row>
    <row r="427">
      <c r="A427" s="15" t="inlineStr">
        <is>
          <t>CS-0426</t>
        </is>
      </c>
      <c r="B427" s="15" t="inlineStr">
        <is>
          <t>TS-70</t>
        </is>
      </c>
      <c r="C427" s="15" t="inlineStr">
        <is>
          <t>TC-195</t>
        </is>
      </c>
      <c r="D427" s="15" t="inlineStr">
        <is>
          <t>PLT</t>
        </is>
      </c>
      <c r="E427" s="16" t="inlineStr">
        <is>
          <t>status and role options: label each code in sentence case</t>
        </is>
      </c>
      <c r="F427" s="16" t="inlineStr">
        <is>
          <t>Developer / CI</t>
        </is>
      </c>
      <c r="G427" s="16" t="inlineStr">
        <is>
          <t>1. Run `npm test -w apps/web` (Vitest, Testing Library, jsdom)
2. Locate 'status and role options label each code in sentence case' in the run output</t>
        </is>
      </c>
      <c r="H427" s="16" t="inlineStr">
        <is>
          <t>Fixtures defined in components/sales/options.test.ts</t>
        </is>
      </c>
      <c r="I427" s="16" t="inlineStr">
        <is>
          <t>The test passes: status and role options label each code in sentence case.</t>
        </is>
      </c>
      <c r="J427" s="15" t="inlineStr">
        <is>
          <t>Unit</t>
        </is>
      </c>
      <c r="K427" s="16" t="inlineStr">
        <is>
          <t>Automated – components/sales/options.test.ts</t>
        </is>
      </c>
      <c r="L427" s="17" t="inlineStr">
        <is>
          <t>Passed</t>
        </is>
      </c>
      <c r="M427" s="16" t="inlineStr">
        <is>
          <t>web-unit-tests.json: 'status and role options label each code in sentence case' passed (2 Oct 2026 14:56 UTC); test-reruns.json: passed (2 Oct 2026 21:45 UTC)</t>
        </is>
      </c>
      <c r="N427" s="16" t="inlineStr">
        <is>
          <t>2 Oct 2026 21:45 UTC</t>
        </is>
      </c>
      <c r="O427" s="16" t="inlineStr">
        <is>
          <t>iorta QA (Vitest)</t>
        </is>
      </c>
      <c r="P427" s="16" t="inlineStr"/>
    </row>
    <row r="428">
      <c r="A428" s="15" t="inlineStr">
        <is>
          <t>CS-0427</t>
        </is>
      </c>
      <c r="B428" s="15" t="inlineStr">
        <is>
          <t>TS-70</t>
        </is>
      </c>
      <c r="C428" s="15" t="inlineStr">
        <is>
          <t>TC-195</t>
        </is>
      </c>
      <c r="D428" s="15" t="inlineStr">
        <is>
          <t>PLT</t>
        </is>
      </c>
      <c r="E428" s="16" t="inlineStr">
        <is>
          <t>toNomineeInputs: drops a blank ID number so the stored one is kept</t>
        </is>
      </c>
      <c r="F428" s="16" t="inlineStr">
        <is>
          <t>Developer / CI</t>
        </is>
      </c>
      <c r="G428" s="16" t="inlineStr">
        <is>
          <t>1. Run `npm test -w apps/web` (Vitest, Testing Library, jsdom)
2. Locate 'toNomineeInputs drops a blank ID number so the stored one is kept' in the run output</t>
        </is>
      </c>
      <c r="H428" s="16" t="inlineStr">
        <is>
          <t>Fixtures defined in components/sales/NomineesEditor.test.ts</t>
        </is>
      </c>
      <c r="I428" s="16" t="inlineStr">
        <is>
          <t>The test passes: toNomineeInputs drops a blank ID number so the stored one is kept.</t>
        </is>
      </c>
      <c r="J428" s="15" t="inlineStr">
        <is>
          <t>Unit</t>
        </is>
      </c>
      <c r="K428" s="16" t="inlineStr">
        <is>
          <t>Automated – components/sales/NomineesEditor.test.ts</t>
        </is>
      </c>
      <c r="L428" s="17" t="inlineStr">
        <is>
          <t>Passed</t>
        </is>
      </c>
      <c r="M428" s="16" t="inlineStr">
        <is>
          <t>web-unit-tests.json: 'toNomineeInputs drops a blank ID number so the stored one is kept' passed (2 Oct 2026 14:56 UTC); test-reruns.json: passed (2 Oct 2026 21:45 UTC)</t>
        </is>
      </c>
      <c r="N428" s="16" t="inlineStr">
        <is>
          <t>2 Oct 2026 21:45 UTC</t>
        </is>
      </c>
      <c r="O428" s="16" t="inlineStr">
        <is>
          <t>iorta QA (Vitest)</t>
        </is>
      </c>
      <c r="P428" s="16" t="inlineStr"/>
    </row>
    <row r="429">
      <c r="A429" s="15" t="inlineStr">
        <is>
          <t>CS-0428</t>
        </is>
      </c>
      <c r="B429" s="15" t="inlineStr">
        <is>
          <t>TS-70</t>
        </is>
      </c>
      <c r="C429" s="15" t="inlineStr">
        <is>
          <t>TC-195</t>
        </is>
      </c>
      <c r="D429" s="15" t="inlineStr">
        <is>
          <t>PLT</t>
        </is>
      </c>
      <c r="E429" s="16" t="inlineStr">
        <is>
          <t>toNomineeInputs: keeps the id of an existing nominee and trims the text fields</t>
        </is>
      </c>
      <c r="F429" s="16" t="inlineStr">
        <is>
          <t>Developer / CI</t>
        </is>
      </c>
      <c r="G429" s="16" t="inlineStr">
        <is>
          <t>1. Run `npm test -w apps/web` (Vitest, Testing Library, jsdom)
2. Locate 'toNomineeInputs keeps the id of an existing nominee and trims the text fields' in the run output</t>
        </is>
      </c>
      <c r="H429" s="16" t="inlineStr">
        <is>
          <t>Fixtures defined in components/sales/NomineesEditor.test.ts</t>
        </is>
      </c>
      <c r="I429" s="16" t="inlineStr">
        <is>
          <t>The test passes: toNomineeInputs keeps the id of an existing nominee and trims the text fields.</t>
        </is>
      </c>
      <c r="J429" s="15" t="inlineStr">
        <is>
          <t>Unit</t>
        </is>
      </c>
      <c r="K429" s="16" t="inlineStr">
        <is>
          <t>Automated – components/sales/NomineesEditor.test.ts</t>
        </is>
      </c>
      <c r="L429" s="17" t="inlineStr">
        <is>
          <t>Passed</t>
        </is>
      </c>
      <c r="M429" s="16" t="inlineStr">
        <is>
          <t>web-unit-tests.json: 'toNomineeInputs keeps the id of an existing nominee and trims the text fields' passed (2 Oct 2026 14:56 UTC); test-reruns.json: passed (2 Oct 2026 21:45 UTC)</t>
        </is>
      </c>
      <c r="N429" s="16" t="inlineStr">
        <is>
          <t>2 Oct 2026 21:45 UTC</t>
        </is>
      </c>
      <c r="O429" s="16" t="inlineStr">
        <is>
          <t>iorta QA (Vitest)</t>
        </is>
      </c>
      <c r="P429" s="16" t="inlineStr"/>
    </row>
    <row r="430">
      <c r="A430" s="15" t="inlineStr">
        <is>
          <t>CS-0429</t>
        </is>
      </c>
      <c r="B430" s="15" t="inlineStr">
        <is>
          <t>TS-70</t>
        </is>
      </c>
      <c r="C430" s="15" t="inlineStr">
        <is>
          <t>TC-195</t>
        </is>
      </c>
      <c r="D430" s="15" t="inlineStr">
        <is>
          <t>PLT</t>
        </is>
      </c>
      <c r="E430" s="16" t="inlineStr">
        <is>
          <t>toNomineeInputs: returns no inputs when the form has no rows</t>
        </is>
      </c>
      <c r="F430" s="16" t="inlineStr">
        <is>
          <t>Developer / CI</t>
        </is>
      </c>
      <c r="G430" s="16" t="inlineStr">
        <is>
          <t>1. Run `npm test -w apps/web` (Vitest, Testing Library, jsdom)
2. Locate 'toNomineeInputs returns no inputs when the form has no rows' in the run output</t>
        </is>
      </c>
      <c r="H430" s="16" t="inlineStr">
        <is>
          <t>Fixtures defined in components/sales/NomineesEditor.test.ts</t>
        </is>
      </c>
      <c r="I430" s="16" t="inlineStr">
        <is>
          <t>The test passes: toNomineeInputs returns no inputs when the form has no rows.</t>
        </is>
      </c>
      <c r="J430" s="15" t="inlineStr">
        <is>
          <t>Unit</t>
        </is>
      </c>
      <c r="K430" s="16" t="inlineStr">
        <is>
          <t>Automated – components/sales/NomineesEditor.test.ts</t>
        </is>
      </c>
      <c r="L430" s="17" t="inlineStr">
        <is>
          <t>Passed</t>
        </is>
      </c>
      <c r="M430" s="16" t="inlineStr">
        <is>
          <t>web-unit-tests.json: 'toNomineeInputs returns no inputs when the form has no rows' passed (2 Oct 2026 14:56 UTC); test-reruns.json: passed (2 Oct 2026 21:45 UTC)</t>
        </is>
      </c>
      <c r="N430" s="16" t="inlineStr">
        <is>
          <t>2 Oct 2026 21:45 UTC</t>
        </is>
      </c>
      <c r="O430" s="16" t="inlineStr">
        <is>
          <t>iorta QA (Vitest)</t>
        </is>
      </c>
      <c r="P430" s="16" t="inlineStr"/>
    </row>
    <row r="431">
      <c r="A431" s="15" t="inlineStr">
        <is>
          <t>CS-0430</t>
        </is>
      </c>
      <c r="B431" s="15" t="inlineStr">
        <is>
          <t>TS-70</t>
        </is>
      </c>
      <c r="C431" s="15" t="inlineStr">
        <is>
          <t>TC-195</t>
        </is>
      </c>
      <c r="D431" s="15" t="inlineStr">
        <is>
          <t>PLT</t>
        </is>
      </c>
      <c r="E431" s="16" t="inlineStr">
        <is>
          <t>toNomineeInputs: round-trips existing nominees without changing them</t>
        </is>
      </c>
      <c r="F431" s="16" t="inlineStr">
        <is>
          <t>Developer / CI</t>
        </is>
      </c>
      <c r="G431" s="16" t="inlineStr">
        <is>
          <t>1. Run `npm test -w apps/web` (Vitest, Testing Library, jsdom)
2. Locate 'toNomineeInputs round-trips existing nominees without changing them' in the run output</t>
        </is>
      </c>
      <c r="H431" s="16" t="inlineStr">
        <is>
          <t>Fixtures defined in components/sales/NomineesEditor.test.ts</t>
        </is>
      </c>
      <c r="I431" s="16" t="inlineStr">
        <is>
          <t>The test passes: toNomineeInputs round-trips existing nominees without changing them.</t>
        </is>
      </c>
      <c r="J431" s="15" t="inlineStr">
        <is>
          <t>Unit</t>
        </is>
      </c>
      <c r="K431" s="16" t="inlineStr">
        <is>
          <t>Automated – components/sales/NomineesEditor.test.ts</t>
        </is>
      </c>
      <c r="L431" s="17" t="inlineStr">
        <is>
          <t>Passed</t>
        </is>
      </c>
      <c r="M431" s="16" t="inlineStr">
        <is>
          <t>web-unit-tests.json: 'toNomineeInputs round-trips existing nominees without changing them' passed (2 Oct 2026 14:56 UTC); test-reruns.json: passed (2 Oct 2026 21:45 UTC)</t>
        </is>
      </c>
      <c r="N431" s="16" t="inlineStr">
        <is>
          <t>2 Oct 2026 21:45 UTC</t>
        </is>
      </c>
      <c r="O431" s="16" t="inlineStr">
        <is>
          <t>iorta QA (Vitest)</t>
        </is>
      </c>
      <c r="P431" s="16" t="inlineStr"/>
    </row>
    <row r="432">
      <c r="A432" s="15" t="inlineStr">
        <is>
          <t>CS-0431</t>
        </is>
      </c>
      <c r="B432" s="15" t="inlineStr">
        <is>
          <t>TS-70</t>
        </is>
      </c>
      <c r="C432" s="15" t="inlineStr">
        <is>
          <t>TC-195</t>
        </is>
      </c>
      <c r="D432" s="15" t="inlineStr">
        <is>
          <t>PLT</t>
        </is>
      </c>
      <c r="E432" s="16" t="inlineStr">
        <is>
          <t>toNomineeInputs: sends new rows without an id and fills defaults for missing fields</t>
        </is>
      </c>
      <c r="F432" s="16" t="inlineStr">
        <is>
          <t>Developer / CI</t>
        </is>
      </c>
      <c r="G432" s="16" t="inlineStr">
        <is>
          <t>1. Run `npm test -w apps/web` (Vitest, Testing Library, jsdom)
2. Locate 'toNomineeInputs sends new rows without an id and fills defaults for missing fields' in the run output</t>
        </is>
      </c>
      <c r="H432" s="16" t="inlineStr">
        <is>
          <t>Fixtures defined in components/sales/NomineesEditor.test.ts</t>
        </is>
      </c>
      <c r="I432" s="16" t="inlineStr">
        <is>
          <t>The test passes: toNomineeInputs sends new rows without an id and fills defaults for missing fields.</t>
        </is>
      </c>
      <c r="J432" s="15" t="inlineStr">
        <is>
          <t>Unit</t>
        </is>
      </c>
      <c r="K432" s="16" t="inlineStr">
        <is>
          <t>Automated – components/sales/NomineesEditor.test.ts</t>
        </is>
      </c>
      <c r="L432" s="17" t="inlineStr">
        <is>
          <t>Passed</t>
        </is>
      </c>
      <c r="M432" s="16" t="inlineStr">
        <is>
          <t>web-unit-tests.json: 'toNomineeInputs sends new rows without an id and fills defaults for missing fields' passed (2 Oct 2026 14:56 UTC); test-reruns.json: passed (2 Oct 2026 21:45 UTC)</t>
        </is>
      </c>
      <c r="N432" s="16" t="inlineStr">
        <is>
          <t>2 Oct 2026 21:45 UTC</t>
        </is>
      </c>
      <c r="O432" s="16" t="inlineStr">
        <is>
          <t>iorta QA (Vitest)</t>
        </is>
      </c>
      <c r="P432" s="16" t="inlineStr"/>
    </row>
    <row r="433">
      <c r="A433" s="15" t="inlineStr">
        <is>
          <t>CS-0432</t>
        </is>
      </c>
      <c r="B433" s="15" t="inlineStr">
        <is>
          <t>TS-70</t>
        </is>
      </c>
      <c r="C433" s="15" t="inlineStr">
        <is>
          <t>TC-196</t>
        </is>
      </c>
      <c r="D433" s="15" t="inlineStr">
        <is>
          <t>PLT</t>
        </is>
      </c>
      <c r="E433" s="16" t="inlineStr">
        <is>
          <t>LoginPage: asks for both fields when submitted empty</t>
        </is>
      </c>
      <c r="F433" s="16" t="inlineStr">
        <is>
          <t>Developer / CI</t>
        </is>
      </c>
      <c r="G433" s="16" t="inlineStr">
        <is>
          <t>1. Run `npm test -w apps/web` (Vitest, Testing Library, jsdom)
2. Locate 'LoginPage asks for both fields when submitted empty' in the run output</t>
        </is>
      </c>
      <c r="H433" s="16" t="inlineStr">
        <is>
          <t>Fixtures defined in pages/auth/LoginPage.test.tsx</t>
        </is>
      </c>
      <c r="I433" s="16" t="inlineStr">
        <is>
          <t>The test passes: LoginPage asks for both fields when submitted empty.</t>
        </is>
      </c>
      <c r="J433" s="15" t="inlineStr">
        <is>
          <t>Unit</t>
        </is>
      </c>
      <c r="K433" s="16" t="inlineStr">
        <is>
          <t>Automated – pages/auth/LoginPage.test.tsx</t>
        </is>
      </c>
      <c r="L433" s="17" t="inlineStr">
        <is>
          <t>Passed</t>
        </is>
      </c>
      <c r="M433" s="16" t="inlineStr">
        <is>
          <t>web-unit-tests.json: 'LoginPage asks for both fields when submitted empty' passed (2 Oct 2026 14:56 UTC); test-reruns.json: passed (2 Oct 2026 21:45 UTC)</t>
        </is>
      </c>
      <c r="N433" s="16" t="inlineStr">
        <is>
          <t>2 Oct 2026 21:45 UTC</t>
        </is>
      </c>
      <c r="O433" s="16" t="inlineStr">
        <is>
          <t>iorta QA (Vitest)</t>
        </is>
      </c>
      <c r="P433" s="16" t="inlineStr"/>
    </row>
    <row r="434">
      <c r="A434" s="15" t="inlineStr">
        <is>
          <t>CS-0433</t>
        </is>
      </c>
      <c r="B434" s="15" t="inlineStr">
        <is>
          <t>TS-70</t>
        </is>
      </c>
      <c r="C434" s="15" t="inlineStr">
        <is>
          <t>TC-196</t>
        </is>
      </c>
      <c r="D434" s="15" t="inlineStr">
        <is>
          <t>PLT</t>
        </is>
      </c>
      <c r="E434" s="16" t="inlineStr">
        <is>
          <t>LoginPage: explains that the previous session ended</t>
        </is>
      </c>
      <c r="F434" s="16" t="inlineStr">
        <is>
          <t>Developer / CI</t>
        </is>
      </c>
      <c r="G434" s="16" t="inlineStr">
        <is>
          <t>1. Run `npm test -w apps/web` (Vitest, Testing Library, jsdom)
2. Locate 'LoginPage explains that the previous session ended' in the run output</t>
        </is>
      </c>
      <c r="H434" s="16" t="inlineStr">
        <is>
          <t>Fixtures defined in pages/auth/LoginPage.test.tsx</t>
        </is>
      </c>
      <c r="I434" s="16" t="inlineStr">
        <is>
          <t>The test passes: LoginPage explains that the previous session ended.</t>
        </is>
      </c>
      <c r="J434" s="15" t="inlineStr">
        <is>
          <t>Unit</t>
        </is>
      </c>
      <c r="K434" s="16" t="inlineStr">
        <is>
          <t>Automated – pages/auth/LoginPage.test.tsx</t>
        </is>
      </c>
      <c r="L434" s="17" t="inlineStr">
        <is>
          <t>Passed</t>
        </is>
      </c>
      <c r="M434" s="16" t="inlineStr">
        <is>
          <t>web-unit-tests.json: 'LoginPage explains that the previous session ended' passed (2 Oct 2026 14:56 UTC); test-reruns.json: passed (2 Oct 2026 21:45 UTC)</t>
        </is>
      </c>
      <c r="N434" s="16" t="inlineStr">
        <is>
          <t>2 Oct 2026 21:45 UTC</t>
        </is>
      </c>
      <c r="O434" s="16" t="inlineStr">
        <is>
          <t>iorta QA (Vitest)</t>
        </is>
      </c>
      <c r="P434" s="16" t="inlineStr"/>
    </row>
    <row r="435">
      <c r="A435" s="15" t="inlineStr">
        <is>
          <t>CS-0434</t>
        </is>
      </c>
      <c r="B435" s="15" t="inlineStr">
        <is>
          <t>TS-70</t>
        </is>
      </c>
      <c r="C435" s="15" t="inlineStr">
        <is>
          <t>TC-196</t>
        </is>
      </c>
      <c r="D435" s="15" t="inlineStr">
        <is>
          <t>PLT</t>
        </is>
      </c>
      <c r="E435" s="16" t="inlineStr">
        <is>
          <t>LoginPage: renders the username and password fields</t>
        </is>
      </c>
      <c r="F435" s="16" t="inlineStr">
        <is>
          <t>Developer / CI</t>
        </is>
      </c>
      <c r="G435" s="16" t="inlineStr">
        <is>
          <t>1. Run `npm test -w apps/web` (Vitest, Testing Library, jsdom)
2. Locate 'LoginPage renders the username and password fields' in the run output</t>
        </is>
      </c>
      <c r="H435" s="16" t="inlineStr">
        <is>
          <t>Fixtures defined in pages/auth/LoginPage.test.tsx</t>
        </is>
      </c>
      <c r="I435" s="16" t="inlineStr">
        <is>
          <t>The test passes: LoginPage renders the username and password fields.</t>
        </is>
      </c>
      <c r="J435" s="15" t="inlineStr">
        <is>
          <t>Unit</t>
        </is>
      </c>
      <c r="K435" s="16" t="inlineStr">
        <is>
          <t>Automated – pages/auth/LoginPage.test.tsx</t>
        </is>
      </c>
      <c r="L435" s="17" t="inlineStr">
        <is>
          <t>Passed</t>
        </is>
      </c>
      <c r="M435" s="16" t="inlineStr">
        <is>
          <t>web-unit-tests.json: 'LoginPage renders the username and password fields' passed (2 Oct 2026 14:56 UTC); test-reruns.json: passed (2 Oct 2026 21:45 UTC)</t>
        </is>
      </c>
      <c r="N435" s="16" t="inlineStr">
        <is>
          <t>2 Oct 2026 21:45 UTC</t>
        </is>
      </c>
      <c r="O435" s="16" t="inlineStr">
        <is>
          <t>iorta QA (Vitest)</t>
        </is>
      </c>
      <c r="P435" s="16" t="inlineStr"/>
    </row>
    <row r="436">
      <c r="A436" s="15" t="inlineStr">
        <is>
          <t>CS-0435</t>
        </is>
      </c>
      <c r="B436" s="15" t="inlineStr">
        <is>
          <t>TS-70</t>
        </is>
      </c>
      <c r="C436" s="15" t="inlineStr">
        <is>
          <t>TC-196</t>
        </is>
      </c>
      <c r="D436" s="15" t="inlineStr">
        <is>
          <t>PLT</t>
        </is>
      </c>
      <c r="E436" s="16" t="inlineStr">
        <is>
          <t>LoginPage: sends users who must change their password to the change-password page</t>
        </is>
      </c>
      <c r="F436" s="16" t="inlineStr">
        <is>
          <t>Developer / CI</t>
        </is>
      </c>
      <c r="G436" s="16" t="inlineStr">
        <is>
          <t>1. Run `npm test -w apps/web` (Vitest, Testing Library, jsdom)
2. Locate 'LoginPage sends users who must change their password to the change-password page' in the run output</t>
        </is>
      </c>
      <c r="H436" s="16" t="inlineStr">
        <is>
          <t>Fixtures defined in pages/auth/LoginPage.test.tsx</t>
        </is>
      </c>
      <c r="I436" s="16" t="inlineStr">
        <is>
          <t>The test passes: LoginPage sends users who must change their password to the change-password page.</t>
        </is>
      </c>
      <c r="J436" s="15" t="inlineStr">
        <is>
          <t>Unit</t>
        </is>
      </c>
      <c r="K436" s="16" t="inlineStr">
        <is>
          <t>Automated – pages/auth/LoginPage.test.tsx</t>
        </is>
      </c>
      <c r="L436" s="17" t="inlineStr">
        <is>
          <t>Passed</t>
        </is>
      </c>
      <c r="M436" s="16" t="inlineStr">
        <is>
          <t>web-unit-tests.json: 'LoginPage sends users who must change their password to the change-password page' passed (2 Oct 2026 14:56 UTC); test-reruns.json: passed (2 Oct 2026 21:45 UTC)</t>
        </is>
      </c>
      <c r="N436" s="16" t="inlineStr">
        <is>
          <t>2 Oct 2026 21:45 UTC</t>
        </is>
      </c>
      <c r="O436" s="16" t="inlineStr">
        <is>
          <t>iorta QA (Vitest)</t>
        </is>
      </c>
      <c r="P436" s="16" t="inlineStr"/>
    </row>
    <row r="437">
      <c r="A437" s="15" t="inlineStr">
        <is>
          <t>CS-0436</t>
        </is>
      </c>
      <c r="B437" s="15" t="inlineStr">
        <is>
          <t>TS-70</t>
        </is>
      </c>
      <c r="C437" s="15" t="inlineStr">
        <is>
          <t>TC-196</t>
        </is>
      </c>
      <c r="D437" s="15" t="inlineStr">
        <is>
          <t>PLT</t>
        </is>
      </c>
      <c r="E437" s="16" t="inlineStr">
        <is>
          <t>LoginPage: shows the error returned for rejected credentials</t>
        </is>
      </c>
      <c r="F437" s="16" t="inlineStr">
        <is>
          <t>Developer / CI</t>
        </is>
      </c>
      <c r="G437" s="16" t="inlineStr">
        <is>
          <t>1. Run `npm test -w apps/web` (Vitest, Testing Library, jsdom)
2. Locate 'LoginPage shows the error returned for rejected credentials' in the run output</t>
        </is>
      </c>
      <c r="H437" s="16" t="inlineStr">
        <is>
          <t>Fixtures defined in pages/auth/LoginPage.test.tsx</t>
        </is>
      </c>
      <c r="I437" s="16" t="inlineStr">
        <is>
          <t>The test passes: LoginPage shows the error returned for rejected credentials.</t>
        </is>
      </c>
      <c r="J437" s="15" t="inlineStr">
        <is>
          <t>Unit</t>
        </is>
      </c>
      <c r="K437" s="16" t="inlineStr">
        <is>
          <t>Automated – pages/auth/LoginPage.test.tsx</t>
        </is>
      </c>
      <c r="L437" s="17" t="inlineStr">
        <is>
          <t>Passed</t>
        </is>
      </c>
      <c r="M437" s="16" t="inlineStr">
        <is>
          <t>web-unit-tests.json: 'LoginPage shows the error returned for rejected credentials' passed (2 Oct 2026 14:56 UTC); test-reruns.json: passed (2 Oct 2026 21:45 UTC)</t>
        </is>
      </c>
      <c r="N437" s="16" t="inlineStr">
        <is>
          <t>2 Oct 2026 21:45 UTC</t>
        </is>
      </c>
      <c r="O437" s="16" t="inlineStr">
        <is>
          <t>iorta QA (Vitest)</t>
        </is>
      </c>
      <c r="P437" s="16" t="inlineStr"/>
    </row>
    <row r="438">
      <c r="A438" s="15" t="inlineStr">
        <is>
          <t>CS-0437</t>
        </is>
      </c>
      <c r="B438" s="15" t="inlineStr">
        <is>
          <t>TS-70</t>
        </is>
      </c>
      <c r="C438" s="15" t="inlineStr">
        <is>
          <t>TC-196</t>
        </is>
      </c>
      <c r="D438" s="15" t="inlineStr">
        <is>
          <t>PLT</t>
        </is>
      </c>
      <c r="E438" s="16" t="inlineStr">
        <is>
          <t>LoginPage: shows the product, release and vendor credit without marketing copy</t>
        </is>
      </c>
      <c r="F438" s="16" t="inlineStr">
        <is>
          <t>Developer / CI</t>
        </is>
      </c>
      <c r="G438" s="16" t="inlineStr">
        <is>
          <t>1. Run `npm test -w apps/web` (Vitest, Testing Library, jsdom)
2. Locate 'LoginPage shows the product, release and vendor credit without marketing copy' in the run output</t>
        </is>
      </c>
      <c r="H438" s="16" t="inlineStr">
        <is>
          <t>Fixtures defined in pages/auth/LoginPage.test.tsx</t>
        </is>
      </c>
      <c r="I438" s="16" t="inlineStr">
        <is>
          <t>The test passes: LoginPage shows the product, release and vendor credit without marketing copy.</t>
        </is>
      </c>
      <c r="J438" s="15" t="inlineStr">
        <is>
          <t>Unit</t>
        </is>
      </c>
      <c r="K438" s="16" t="inlineStr">
        <is>
          <t>Automated – pages/auth/LoginPage.test.tsx</t>
        </is>
      </c>
      <c r="L438" s="17" t="inlineStr">
        <is>
          <t>Passed</t>
        </is>
      </c>
      <c r="M438" s="16" t="inlineStr">
        <is>
          <t>test-reruns.json: 'LoginPage shows the product, release and vendor credit without marketing copy' passed (2 Oct 2026 21:45 UTC)</t>
        </is>
      </c>
      <c r="N438" s="16" t="inlineStr">
        <is>
          <t>2 Oct 2026 21:45 UTC</t>
        </is>
      </c>
      <c r="O438" s="16" t="inlineStr">
        <is>
          <t>iorta QA (Vitest)</t>
        </is>
      </c>
      <c r="P438" s="16" t="inlineStr"/>
    </row>
    <row r="439">
      <c r="A439" s="15" t="inlineStr">
        <is>
          <t>CS-0438</t>
        </is>
      </c>
      <c r="B439" s="15" t="inlineStr">
        <is>
          <t>TS-70</t>
        </is>
      </c>
      <c r="C439" s="15" t="inlineStr">
        <is>
          <t>TC-196</t>
        </is>
      </c>
      <c r="D439" s="15" t="inlineStr">
        <is>
          <t>PLT</t>
        </is>
      </c>
      <c r="E439" s="16" t="inlineStr">
        <is>
          <t>LoginPage: signs in with the typed credentials and opens the home page</t>
        </is>
      </c>
      <c r="F439" s="16" t="inlineStr">
        <is>
          <t>Developer / CI</t>
        </is>
      </c>
      <c r="G439" s="16" t="inlineStr">
        <is>
          <t>1. Run `npm test -w apps/web` (Vitest, Testing Library, jsdom)
2. Locate 'LoginPage signs in with the typed credentials and opens the home page' in the run output</t>
        </is>
      </c>
      <c r="H439" s="16" t="inlineStr">
        <is>
          <t>Fixtures defined in pages/auth/LoginPage.test.tsx</t>
        </is>
      </c>
      <c r="I439" s="16" t="inlineStr">
        <is>
          <t>The test passes: LoginPage signs in with the typed credentials and opens the home page.</t>
        </is>
      </c>
      <c r="J439" s="15" t="inlineStr">
        <is>
          <t>Unit</t>
        </is>
      </c>
      <c r="K439" s="16" t="inlineStr">
        <is>
          <t>Automated – pages/auth/LoginPage.test.tsx</t>
        </is>
      </c>
      <c r="L439" s="17" t="inlineStr">
        <is>
          <t>Passed</t>
        </is>
      </c>
      <c r="M439" s="16" t="inlineStr">
        <is>
          <t>web-unit-tests.json: 'LoginPage signs in with the typed credentials and opens the home page' passed (2 Oct 2026 14:56 UTC); test-reruns.json: passed (2 Oct 2026 21:45 UTC)</t>
        </is>
      </c>
      <c r="N439" s="16" t="inlineStr">
        <is>
          <t>2 Oct 2026 21:45 UTC</t>
        </is>
      </c>
      <c r="O439" s="16" t="inlineStr">
        <is>
          <t>iorta QA (Vitest)</t>
        </is>
      </c>
      <c r="P439" s="16" t="inlineStr"/>
    </row>
  </sheetData>
  <printOptions horizontalCentered="1"/>
  <pageMargins left="0.4" right="0.4" top="0.6" bottom="0.6" header="0.5" footer="0.5"/>
  <pageSetup orientation="landscape" paperSize="9" fitToHeight="0" fitToWidth="1"/>
  <headerFooter>
    <oddHeader>&amp;R&amp;8 iorta TechNXT | IIFT Agent/Banca Portal &amp; Back-office</oddHeader>
    <oddFooter>&amp;L&amp;8 Commercial-in-Confidence | IIFT-SV2-TCS v1.0&amp;R&amp;8 &amp;A |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F58220"/>
    <outlinePr summaryBelow="1" summaryRight="1"/>
    <pageSetUpPr fitToPage="1"/>
  </sheetPr>
  <dimension ref="A1:I3"/>
  <sheetViews>
    <sheetView showGridLines="0" zoomScale="9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44" customWidth="1" min="2" max="2"/>
    <col width="10" customWidth="1" min="3" max="3"/>
    <col width="10" customWidth="1" min="4" max="4"/>
    <col width="30" customWidth="1" min="5" max="5"/>
    <col width="80" customWidth="1" min="6" max="6"/>
    <col width="30" customWidth="1" min="7" max="7"/>
    <col width="40" customWidth="1" min="8" max="8"/>
    <col width="14" customWidth="1" min="9" max="9"/>
  </cols>
  <sheetData>
    <row r="1" ht="30" customHeight="1">
      <c r="A1" s="14" t="inlineStr">
        <is>
          <t>ID</t>
        </is>
      </c>
      <c r="B1" s="14" t="inlineStr">
        <is>
          <t>Title</t>
        </is>
      </c>
      <c r="C1" s="14" t="inlineStr">
        <is>
          <t>Severity</t>
        </is>
      </c>
      <c r="D1" s="14" t="inlineStr">
        <is>
          <t>Priority</t>
        </is>
      </c>
      <c r="E1" s="14" t="inlineStr">
        <is>
          <t>Area</t>
        </is>
      </c>
      <c r="F1" s="14" t="inlineStr">
        <is>
          <t>Description</t>
        </is>
      </c>
      <c r="G1" s="14" t="inlineStr">
        <is>
          <t>Found by</t>
        </is>
      </c>
      <c r="H1" s="14" t="inlineStr">
        <is>
          <t>Status</t>
        </is>
      </c>
      <c r="I1" s="14" t="inlineStr">
        <is>
          <t>Cases</t>
        </is>
      </c>
    </row>
    <row r="2">
      <c r="A2" s="15" t="inlineStr">
        <is>
          <t>DEF-001</t>
        </is>
      </c>
      <c r="B2" s="16" t="inlineStr">
        <is>
          <t>End-to-end claim test uses the UTC calendar day instead of the Brunei business day</t>
        </is>
      </c>
      <c r="C2" s="15" t="inlineStr">
        <is>
          <t>Low</t>
        </is>
      </c>
      <c r="D2" s="15" t="inlineStr">
        <is>
          <t>Medium</t>
        </is>
      </c>
      <c r="E2" s="16" t="inlineStr">
        <is>
          <t>Test assets (apps/api/test/operations.e2e-spec.ts)</t>
        </is>
      </c>
      <c r="F2" s="16" t="inlineStr">
        <is>
          <t>The test 'accepts claim notifications only within the period of cover' notifies a claim dated today() in UTC. Policies seeded after 16:00 UTC start on the next Brunei day, so the claim is refused with CLAIM_NOT_VALID and the test fails when the suite runs between 16:00 and 24:00 UTC. The application behaves correctly (the same case passed in the API run with the Brunei date, EX-067). The evidence run at 14:50 UTC passed; the re-run at 22:00 UTC failed.</t>
        </is>
      </c>
      <c r="G2" s="16" t="inlineStr">
        <is>
          <t>iorta QA, re-run of the end-to-end suite on 2 October 2026</t>
        </is>
      </c>
      <c r="H2" s="16" t="inlineStr">
        <is>
          <t>Open – fix in test code (use the business-day helper); no product change</t>
        </is>
      </c>
      <c r="I2" s="16" t="inlineStr">
        <is>
          <t>CS-0214</t>
        </is>
      </c>
    </row>
    <row r="3">
      <c r="A3" s="15" t="inlineStr">
        <is>
          <t>DEF-002</t>
        </is>
      </c>
      <c r="B3" s="16" t="inlineStr">
        <is>
          <t>Administrator password reset re-activates a disabled account</t>
        </is>
      </c>
      <c r="C3" s="15" t="inlineStr">
        <is>
          <t>Medium</t>
        </is>
      </c>
      <c r="D3" s="15" t="inlineStr">
        <is>
          <t>High</t>
        </is>
      </c>
      <c r="E3" s="16" t="inlineStr">
        <is>
          <t>User administration (apps/api/src/modules/access/users.service.ts, resetPassword)</t>
        </is>
      </c>
      <c r="F3" s="16" t="inlineStr">
        <is>
          <t>Resetting the password of a user whose status is DISABLED sets the status back to ACTIVE, and the user can sign in with the temporary password (EX-134: reset 200, sign-in 200). The audit trail records USER_PASSWORD_RESET only, not a re-activation. An administrator who resets a password should not silently re-enable an account that another administrator disabled; re-activation should be an explicit, separately audited status change (BO-03, NFR-10). The unlock function behaves correctly (it refuses disabled accounts).</t>
        </is>
      </c>
      <c r="G3" s="16" t="inlineStr">
        <is>
          <t>iorta QA, API run of 2 October 2026</t>
        </is>
      </c>
      <c r="H3" s="16" t="inlineStr">
        <is>
          <t>Open – fix proposed: keep the status on reset and audit any re-activation; to be confirmed with IIFT</t>
        </is>
      </c>
      <c r="I3" s="16" t="inlineStr">
        <is>
          <t>CS-0268</t>
        </is>
      </c>
    </row>
  </sheetData>
  <printOptions horizontalCentered="1"/>
  <pageMargins left="0.4" right="0.4" top="0.6" bottom="0.6" header="0.5" footer="0.5"/>
  <pageSetup orientation="landscape" paperSize="9" fitToHeight="0" fitToWidth="1"/>
  <headerFooter>
    <oddHeader>&amp;R&amp;8 iorta TechNXT | IIFT Agent/Banca Portal &amp; Back-office</oddHeader>
    <oddFooter>&amp;L&amp;8 Commercial-in-Confidence | IIFT-SV2-TCS v1.0&amp;R&amp;8 &amp;A |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00F58220"/>
    <outlinePr summaryBelow="1" summaryRight="1"/>
    <pageSetUpPr fitToPage="1"/>
  </sheetPr>
  <dimension ref="A1:J170"/>
  <sheetViews>
    <sheetView showGridLines="0" zoomScale="9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2" customWidth="1" min="2" max="2"/>
    <col width="40" customWidth="1" min="3" max="3"/>
    <col width="24" customWidth="1" min="4" max="4"/>
    <col width="8" customWidth="1" min="5" max="5"/>
    <col width="9" customWidth="1" min="6" max="6"/>
    <col width="8" customWidth="1" min="7" max="7"/>
    <col width="8" customWidth="1" min="8" max="8"/>
    <col width="60" customWidth="1" min="9" max="9"/>
    <col width="26" customWidth="1" min="10" max="10"/>
  </cols>
  <sheetData>
    <row r="1" ht="30" customHeight="1">
      <c r="A1" s="14" t="inlineStr">
        <is>
          <t>RFP ID</t>
        </is>
      </c>
      <c r="B1" s="14" t="inlineStr">
        <is>
          <t>Area</t>
        </is>
      </c>
      <c r="C1" s="14" t="inlineStr">
        <is>
          <t>Requirement</t>
        </is>
      </c>
      <c r="D1" s="14" t="inlineStr">
        <is>
          <t>Scenarios</t>
        </is>
      </c>
      <c r="E1" s="14" t="inlineStr">
        <is>
          <t>Cases</t>
        </is>
      </c>
      <c r="F1" s="14" t="inlineStr">
        <is>
          <t>Executed</t>
        </is>
      </c>
      <c r="G1" s="14" t="inlineStr">
        <is>
          <t>Passed</t>
        </is>
      </c>
      <c r="H1" s="14" t="inlineStr">
        <is>
          <t>Failed</t>
        </is>
      </c>
      <c r="I1" s="14" t="inlineStr">
        <is>
          <t>Case IDs</t>
        </is>
      </c>
      <c r="J1" s="14" t="inlineStr">
        <is>
          <t>Coverage</t>
        </is>
      </c>
    </row>
    <row r="2">
      <c r="A2" s="15" t="inlineStr">
        <is>
          <t>AP-01</t>
        </is>
      </c>
      <c r="B2" s="16" t="inlineStr">
        <is>
          <t>Authentication</t>
        </is>
      </c>
      <c r="C2" s="16" t="inlineStr">
        <is>
          <t>Secure login</t>
        </is>
      </c>
      <c r="D2" s="16" t="inlineStr">
        <is>
          <t>TS-01</t>
        </is>
      </c>
      <c r="E2" s="21" t="n">
        <v>9</v>
      </c>
      <c r="F2" s="21" t="n">
        <v>8</v>
      </c>
      <c r="G2" s="21" t="n">
        <v>8</v>
      </c>
      <c r="H2" s="21" t="n">
        <v>0</v>
      </c>
      <c r="I2" s="16" t="inlineStr">
        <is>
          <t>CS-0001–CS-0009</t>
        </is>
      </c>
      <c r="J2" s="16" t="inlineStr">
        <is>
          <t>Partly executed – passed</t>
        </is>
      </c>
    </row>
    <row r="3">
      <c r="A3" s="15" t="inlineStr">
        <is>
          <t>AP-02</t>
        </is>
      </c>
      <c r="B3" s="16" t="inlineStr">
        <is>
          <t>Authentication</t>
        </is>
      </c>
      <c r="C3" s="16" t="inlineStr">
        <is>
          <t>Password management</t>
        </is>
      </c>
      <c r="D3" s="16" t="inlineStr">
        <is>
          <t>TS-02</t>
        </is>
      </c>
      <c r="E3" s="21" t="n">
        <v>10</v>
      </c>
      <c r="F3" s="21" t="n">
        <v>9</v>
      </c>
      <c r="G3" s="21" t="n">
        <v>9</v>
      </c>
      <c r="H3" s="21" t="n">
        <v>0</v>
      </c>
      <c r="I3" s="16" t="inlineStr">
        <is>
          <t>CS-0010–CS-0019</t>
        </is>
      </c>
      <c r="J3" s="16" t="inlineStr">
        <is>
          <t>Partly executed – passed</t>
        </is>
      </c>
    </row>
    <row r="4">
      <c r="A4" s="15" t="inlineStr">
        <is>
          <t>AP-03</t>
        </is>
      </c>
      <c r="B4" s="16" t="inlineStr">
        <is>
          <t>Authentication</t>
        </is>
      </c>
      <c r="C4" s="16" t="inlineStr">
        <is>
          <t>Session management</t>
        </is>
      </c>
      <c r="D4" s="16" t="inlineStr">
        <is>
          <t>TS-03</t>
        </is>
      </c>
      <c r="E4" s="21" t="n">
        <v>13</v>
      </c>
      <c r="F4" s="21" t="n">
        <v>11</v>
      </c>
      <c r="G4" s="21" t="n">
        <v>11</v>
      </c>
      <c r="H4" s="21" t="n">
        <v>0</v>
      </c>
      <c r="I4" s="16" t="inlineStr">
        <is>
          <t>CS-0020–CS-0032</t>
        </is>
      </c>
      <c r="J4" s="16" t="inlineStr">
        <is>
          <t>Partly executed – passed</t>
        </is>
      </c>
    </row>
    <row r="5">
      <c r="A5" s="15" t="inlineStr">
        <is>
          <t>AP-04</t>
        </is>
      </c>
      <c r="B5" s="16" t="inlineStr">
        <is>
          <t>Authentication</t>
        </is>
      </c>
      <c r="C5" s="16" t="inlineStr">
        <is>
          <t>Account lockout</t>
        </is>
      </c>
      <c r="D5" s="16" t="inlineStr">
        <is>
          <t>TS-04</t>
        </is>
      </c>
      <c r="E5" s="21" t="n">
        <v>2</v>
      </c>
      <c r="F5" s="21" t="n">
        <v>2</v>
      </c>
      <c r="G5" s="21" t="n">
        <v>2</v>
      </c>
      <c r="H5" s="21" t="n">
        <v>0</v>
      </c>
      <c r="I5" s="16" t="inlineStr">
        <is>
          <t>CS-0033–CS-0034</t>
        </is>
      </c>
      <c r="J5" s="16" t="inlineStr">
        <is>
          <t>Executed – passed</t>
        </is>
      </c>
    </row>
    <row r="6">
      <c r="A6" s="15" t="inlineStr">
        <is>
          <t>AP-05</t>
        </is>
      </c>
      <c r="B6" s="16" t="inlineStr">
        <is>
          <t>Agent/Banca profile</t>
        </is>
      </c>
      <c r="C6" s="16" t="inlineStr">
        <is>
          <t>View agent/banca profile</t>
        </is>
      </c>
      <c r="D6" s="16" t="inlineStr">
        <is>
          <t>TS-09</t>
        </is>
      </c>
      <c r="E6" s="21" t="n">
        <v>4</v>
      </c>
      <c r="F6" s="21" t="n">
        <v>4</v>
      </c>
      <c r="G6" s="21" t="n">
        <v>4</v>
      </c>
      <c r="H6" s="21" t="n">
        <v>0</v>
      </c>
      <c r="I6" s="16" t="inlineStr">
        <is>
          <t>CS-0061–CS-0064</t>
        </is>
      </c>
      <c r="J6" s="16" t="inlineStr">
        <is>
          <t>Executed – passed</t>
        </is>
      </c>
    </row>
    <row r="7">
      <c r="A7" s="15" t="inlineStr">
        <is>
          <t>AP-06</t>
        </is>
      </c>
      <c r="B7" s="16" t="inlineStr">
        <is>
          <t>Agent/Banca profile</t>
        </is>
      </c>
      <c r="C7" s="16" t="inlineStr">
        <is>
          <t>Maintain profile (subject to approval)</t>
        </is>
      </c>
      <c r="D7" s="16" t="inlineStr">
        <is>
          <t>TS-09</t>
        </is>
      </c>
      <c r="E7" s="21" t="n">
        <v>4</v>
      </c>
      <c r="F7" s="21" t="n">
        <v>4</v>
      </c>
      <c r="G7" s="21" t="n">
        <v>4</v>
      </c>
      <c r="H7" s="21" t="n">
        <v>0</v>
      </c>
      <c r="I7" s="16" t="inlineStr">
        <is>
          <t>CS-0061–CS-0064</t>
        </is>
      </c>
      <c r="J7" s="16" t="inlineStr">
        <is>
          <t>Executed – passed</t>
        </is>
      </c>
    </row>
    <row r="8">
      <c r="A8" s="15" t="inlineStr">
        <is>
          <t>AP-07</t>
        </is>
      </c>
      <c r="B8" s="16" t="inlineStr">
        <is>
          <t>Agent/Banca management</t>
        </is>
      </c>
      <c r="C8" s="16" t="inlineStr">
        <is>
          <t>Agent/banca registration</t>
        </is>
      </c>
      <c r="D8" s="16" t="inlineStr">
        <is>
          <t>TS-08</t>
        </is>
      </c>
      <c r="E8" s="21" t="n">
        <v>8</v>
      </c>
      <c r="F8" s="21" t="n">
        <v>8</v>
      </c>
      <c r="G8" s="21" t="n">
        <v>8</v>
      </c>
      <c r="H8" s="21" t="n">
        <v>0</v>
      </c>
      <c r="I8" s="16" t="inlineStr">
        <is>
          <t>CS-0053–CS-0060</t>
        </is>
      </c>
      <c r="J8" s="16" t="inlineStr">
        <is>
          <t>Executed – passed</t>
        </is>
      </c>
    </row>
    <row r="9">
      <c r="A9" s="15" t="inlineStr">
        <is>
          <t>AP-08</t>
        </is>
      </c>
      <c r="B9" s="16" t="inlineStr">
        <is>
          <t>Agent/Banca management</t>
        </is>
      </c>
      <c r="C9" s="16" t="inlineStr">
        <is>
          <t>Agent ID generation</t>
        </is>
      </c>
      <c r="D9" s="16" t="inlineStr">
        <is>
          <t>TS-08</t>
        </is>
      </c>
      <c r="E9" s="21" t="n">
        <v>8</v>
      </c>
      <c r="F9" s="21" t="n">
        <v>8</v>
      </c>
      <c r="G9" s="21" t="n">
        <v>8</v>
      </c>
      <c r="H9" s="21" t="n">
        <v>0</v>
      </c>
      <c r="I9" s="16" t="inlineStr">
        <is>
          <t>CS-0053–CS-0060</t>
        </is>
      </c>
      <c r="J9" s="16" t="inlineStr">
        <is>
          <t>Executed – passed</t>
        </is>
      </c>
    </row>
    <row r="10">
      <c r="A10" s="15" t="inlineStr">
        <is>
          <t>AP-09</t>
        </is>
      </c>
      <c r="B10" s="16" t="inlineStr">
        <is>
          <t>Agent/Banca management</t>
        </is>
      </c>
      <c r="C10" s="16" t="inlineStr">
        <is>
          <t>Main/sub-agent relationships</t>
        </is>
      </c>
      <c r="D10" s="16" t="inlineStr">
        <is>
          <t>TS-07, TS-09</t>
        </is>
      </c>
      <c r="E10" s="21" t="n">
        <v>10</v>
      </c>
      <c r="F10" s="21" t="n">
        <v>10</v>
      </c>
      <c r="G10" s="21" t="n">
        <v>10</v>
      </c>
      <c r="H10" s="21" t="n">
        <v>0</v>
      </c>
      <c r="I10" s="16" t="inlineStr">
        <is>
          <t>CS-0047–CS-0052, CS-0061–CS-0064</t>
        </is>
      </c>
      <c r="J10" s="16" t="inlineStr">
        <is>
          <t>Executed – passed</t>
        </is>
      </c>
    </row>
    <row r="11">
      <c r="A11" s="15" t="inlineStr">
        <is>
          <t>AP-10</t>
        </is>
      </c>
      <c r="B11" s="16" t="inlineStr">
        <is>
          <t>Agent/Banca management</t>
        </is>
      </c>
      <c r="C11" s="16" t="inlineStr">
        <is>
          <t>Agency/banca information</t>
        </is>
      </c>
      <c r="D11" s="16" t="inlineStr">
        <is>
          <t>TS-09</t>
        </is>
      </c>
      <c r="E11" s="21" t="n">
        <v>4</v>
      </c>
      <c r="F11" s="21" t="n">
        <v>4</v>
      </c>
      <c r="G11" s="21" t="n">
        <v>4</v>
      </c>
      <c r="H11" s="21" t="n">
        <v>0</v>
      </c>
      <c r="I11" s="16" t="inlineStr">
        <is>
          <t>CS-0061–CS-0064</t>
        </is>
      </c>
      <c r="J11" s="16" t="inlineStr">
        <is>
          <t>Executed – passed</t>
        </is>
      </c>
    </row>
    <row r="12">
      <c r="A12" s="15" t="inlineStr">
        <is>
          <t>AP-11</t>
        </is>
      </c>
      <c r="B12" s="16" t="inlineStr">
        <is>
          <t>Agent/Banca management</t>
        </is>
      </c>
      <c r="C12" s="16" t="inlineStr">
        <is>
          <t>Cross-agency participant sharing</t>
        </is>
      </c>
      <c r="D12" s="16" t="inlineStr">
        <is>
          <t>TS-07, TS-12</t>
        </is>
      </c>
      <c r="E12" s="21" t="n">
        <v>11</v>
      </c>
      <c r="F12" s="21" t="n">
        <v>11</v>
      </c>
      <c r="G12" s="21" t="n">
        <v>11</v>
      </c>
      <c r="H12" s="21" t="n">
        <v>0</v>
      </c>
      <c r="I12" s="16" t="inlineStr">
        <is>
          <t>CS-0047–CS-0052, CS-0077–CS-0081</t>
        </is>
      </c>
      <c r="J12" s="16" t="inlineStr">
        <is>
          <t>Executed – passed</t>
        </is>
      </c>
    </row>
    <row r="13">
      <c r="A13" s="15" t="inlineStr">
        <is>
          <t>AP-12</t>
        </is>
      </c>
      <c r="B13" s="16" t="inlineStr">
        <is>
          <t>Agent/Banca management</t>
        </is>
      </c>
      <c r="C13" s="16" t="inlineStr">
        <is>
          <t>Agency-wide participant visibility</t>
        </is>
      </c>
      <c r="D13" s="16" t="inlineStr">
        <is>
          <t>TS-07, TS-12</t>
        </is>
      </c>
      <c r="E13" s="21" t="n">
        <v>11</v>
      </c>
      <c r="F13" s="21" t="n">
        <v>11</v>
      </c>
      <c r="G13" s="21" t="n">
        <v>11</v>
      </c>
      <c r="H13" s="21" t="n">
        <v>0</v>
      </c>
      <c r="I13" s="16" t="inlineStr">
        <is>
          <t>CS-0047–CS-0052, CS-0077–CS-0081</t>
        </is>
      </c>
      <c r="J13" s="16" t="inlineStr">
        <is>
          <t>Executed – passed</t>
        </is>
      </c>
    </row>
    <row r="14">
      <c r="A14" s="15" t="inlineStr">
        <is>
          <t>AP-13</t>
        </is>
      </c>
      <c r="B14" s="16" t="inlineStr">
        <is>
          <t>Participant management</t>
        </is>
      </c>
      <c r="C14" s="16" t="inlineStr">
        <is>
          <t>Participant registration</t>
        </is>
      </c>
      <c r="D14" s="16" t="inlineStr">
        <is>
          <t>TS-11</t>
        </is>
      </c>
      <c r="E14" s="21" t="n">
        <v>6</v>
      </c>
      <c r="F14" s="21" t="n">
        <v>5</v>
      </c>
      <c r="G14" s="21" t="n">
        <v>5</v>
      </c>
      <c r="H14" s="21" t="n">
        <v>0</v>
      </c>
      <c r="I14" s="16" t="inlineStr">
        <is>
          <t>CS-0071–CS-0076</t>
        </is>
      </c>
      <c r="J14" s="16" t="inlineStr">
        <is>
          <t>Partly executed – passed</t>
        </is>
      </c>
    </row>
    <row r="15">
      <c r="A15" s="15" t="inlineStr">
        <is>
          <t>AP-14</t>
        </is>
      </c>
      <c r="B15" s="16" t="inlineStr">
        <is>
          <t>Participant management</t>
        </is>
      </c>
      <c r="C15" s="16" t="inlineStr">
        <is>
          <t>Participant search</t>
        </is>
      </c>
      <c r="D15" s="16" t="inlineStr">
        <is>
          <t>TS-11</t>
        </is>
      </c>
      <c r="E15" s="21" t="n">
        <v>6</v>
      </c>
      <c r="F15" s="21" t="n">
        <v>5</v>
      </c>
      <c r="G15" s="21" t="n">
        <v>5</v>
      </c>
      <c r="H15" s="21" t="n">
        <v>0</v>
      </c>
      <c r="I15" s="16" t="inlineStr">
        <is>
          <t>CS-0071–CS-0076</t>
        </is>
      </c>
      <c r="J15" s="16" t="inlineStr">
        <is>
          <t>Partly executed – passed</t>
        </is>
      </c>
    </row>
    <row r="16">
      <c r="A16" s="15" t="inlineStr">
        <is>
          <t>AP-15</t>
        </is>
      </c>
      <c r="B16" s="16" t="inlineStr">
        <is>
          <t>Participant management</t>
        </is>
      </c>
      <c r="C16" s="16" t="inlineStr">
        <is>
          <t>Participant maintenance (subject to approval)</t>
        </is>
      </c>
      <c r="D16" s="16" t="inlineStr">
        <is>
          <t>TS-11</t>
        </is>
      </c>
      <c r="E16" s="21" t="n">
        <v>6</v>
      </c>
      <c r="F16" s="21" t="n">
        <v>5</v>
      </c>
      <c r="G16" s="21" t="n">
        <v>5</v>
      </c>
      <c r="H16" s="21" t="n">
        <v>0</v>
      </c>
      <c r="I16" s="16" t="inlineStr">
        <is>
          <t>CS-0071–CS-0076</t>
        </is>
      </c>
      <c r="J16" s="16" t="inlineStr">
        <is>
          <t>Partly executed – passed</t>
        </is>
      </c>
    </row>
    <row r="17">
      <c r="A17" s="15" t="inlineStr">
        <is>
          <t>AP-16</t>
        </is>
      </c>
      <c r="B17" s="16" t="inlineStr">
        <is>
          <t>Participant management</t>
        </is>
      </c>
      <c r="C17" s="16" t="inlineStr">
        <is>
          <t>AML screening and compliance routing</t>
        </is>
      </c>
      <c r="D17" s="16" t="inlineStr">
        <is>
          <t>TS-13</t>
        </is>
      </c>
      <c r="E17" s="21" t="n">
        <v>11</v>
      </c>
      <c r="F17" s="21" t="n">
        <v>11</v>
      </c>
      <c r="G17" s="21" t="n">
        <v>11</v>
      </c>
      <c r="H17" s="21" t="n">
        <v>0</v>
      </c>
      <c r="I17" s="16" t="inlineStr">
        <is>
          <t>CS-0082–CS-0092</t>
        </is>
      </c>
      <c r="J17" s="16" t="inlineStr">
        <is>
          <t>Executed – passed</t>
        </is>
      </c>
    </row>
    <row r="18">
      <c r="A18" s="15" t="inlineStr">
        <is>
          <t>AP-17</t>
        </is>
      </c>
      <c r="B18" s="16" t="inlineStr">
        <is>
          <t>Policy management</t>
        </is>
      </c>
      <c r="C18" s="16" t="inlineStr">
        <is>
          <t>Product selection</t>
        </is>
      </c>
      <c r="D18" s="16" t="inlineStr">
        <is>
          <t>TS-15, TS-16, TS-17, TS-18, TS-19</t>
        </is>
      </c>
      <c r="E18" s="21" t="n">
        <v>28</v>
      </c>
      <c r="F18" s="21" t="n">
        <v>25</v>
      </c>
      <c r="G18" s="21" t="n">
        <v>25</v>
      </c>
      <c r="H18" s="21" t="n">
        <v>0</v>
      </c>
      <c r="I18" s="16" t="inlineStr">
        <is>
          <t>CS-0096–CS-0123</t>
        </is>
      </c>
      <c r="J18" s="16" t="inlineStr">
        <is>
          <t>Partly executed – passed</t>
        </is>
      </c>
    </row>
    <row r="19">
      <c r="A19" s="15" t="inlineStr">
        <is>
          <t>AP-18</t>
        </is>
      </c>
      <c r="B19" s="16" t="inlineStr">
        <is>
          <t>Policy management</t>
        </is>
      </c>
      <c r="C19" s="16" t="inlineStr">
        <is>
          <t>New quotation</t>
        </is>
      </c>
      <c r="D19" s="16" t="inlineStr">
        <is>
          <t>TS-15, TS-16, TS-17, TS-18, TS-19, TS-21</t>
        </is>
      </c>
      <c r="E19" s="21" t="n">
        <v>35</v>
      </c>
      <c r="F19" s="21" t="n">
        <v>31</v>
      </c>
      <c r="G19" s="21" t="n">
        <v>31</v>
      </c>
      <c r="H19" s="21" t="n">
        <v>0</v>
      </c>
      <c r="I19" s="16" t="inlineStr">
        <is>
          <t>CS-0096–CS-0123, CS-0132–CS-0138</t>
        </is>
      </c>
      <c r="J19" s="16" t="inlineStr">
        <is>
          <t>Partly executed – passed</t>
        </is>
      </c>
    </row>
    <row r="20">
      <c r="A20" s="15" t="inlineStr">
        <is>
          <t>AP-19</t>
        </is>
      </c>
      <c r="B20" s="16" t="inlineStr">
        <is>
          <t>Policy management</t>
        </is>
      </c>
      <c r="C20" s="16" t="inlineStr">
        <is>
          <t>Automatic contribution calculation</t>
        </is>
      </c>
      <c r="D20" s="16" t="inlineStr">
        <is>
          <t>TS-15, TS-16, TS-17, TS-18, TS-19</t>
        </is>
      </c>
      <c r="E20" s="21" t="n">
        <v>28</v>
      </c>
      <c r="F20" s="21" t="n">
        <v>25</v>
      </c>
      <c r="G20" s="21" t="n">
        <v>25</v>
      </c>
      <c r="H20" s="21" t="n">
        <v>0</v>
      </c>
      <c r="I20" s="16" t="inlineStr">
        <is>
          <t>CS-0096–CS-0123</t>
        </is>
      </c>
      <c r="J20" s="16" t="inlineStr">
        <is>
          <t>Partly executed – passed</t>
        </is>
      </c>
    </row>
    <row r="21">
      <c r="A21" s="15" t="inlineStr">
        <is>
          <t>AP-20</t>
        </is>
      </c>
      <c r="B21" s="16" t="inlineStr">
        <is>
          <t>Policy management</t>
        </is>
      </c>
      <c r="C21" s="16" t="inlineStr">
        <is>
          <t>Draft quotation</t>
        </is>
      </c>
      <c r="D21" s="16" t="inlineStr">
        <is>
          <t>TS-21</t>
        </is>
      </c>
      <c r="E21" s="21" t="n">
        <v>7</v>
      </c>
      <c r="F21" s="21" t="n">
        <v>6</v>
      </c>
      <c r="G21" s="21" t="n">
        <v>6</v>
      </c>
      <c r="H21" s="21" t="n">
        <v>0</v>
      </c>
      <c r="I21" s="16" t="inlineStr">
        <is>
          <t>CS-0132–CS-0138</t>
        </is>
      </c>
      <c r="J21" s="16" t="inlineStr">
        <is>
          <t>Partly executed – passed</t>
        </is>
      </c>
    </row>
    <row r="22">
      <c r="A22" s="15" t="inlineStr">
        <is>
          <t>AP-21</t>
        </is>
      </c>
      <c r="B22" s="16" t="inlineStr">
        <is>
          <t>Policy management</t>
        </is>
      </c>
      <c r="C22" s="16" t="inlineStr">
        <is>
          <t>Policy statuses</t>
        </is>
      </c>
      <c r="D22" s="16" t="inlineStr">
        <is>
          <t>TS-27, TS-29</t>
        </is>
      </c>
      <c r="E22" s="21" t="n">
        <v>6</v>
      </c>
      <c r="F22" s="21" t="n">
        <v>5</v>
      </c>
      <c r="G22" s="21" t="n">
        <v>5</v>
      </c>
      <c r="H22" s="21" t="n">
        <v>0</v>
      </c>
      <c r="I22" s="16" t="inlineStr">
        <is>
          <t>CS-0173–CS-0177, CS-0184</t>
        </is>
      </c>
      <c r="J22" s="16" t="inlineStr">
        <is>
          <t>Partly executed – passed</t>
        </is>
      </c>
    </row>
    <row r="23">
      <c r="A23" s="15" t="inlineStr">
        <is>
          <t>AP-22</t>
        </is>
      </c>
      <c r="B23" s="16" t="inlineStr">
        <is>
          <t>Policy management</t>
        </is>
      </c>
      <c r="C23" s="16" t="inlineStr">
        <is>
          <t>Policy listing</t>
        </is>
      </c>
      <c r="D23" s="16" t="inlineStr">
        <is>
          <t>TS-27</t>
        </is>
      </c>
      <c r="E23" s="21" t="n">
        <v>5</v>
      </c>
      <c r="F23" s="21" t="n">
        <v>5</v>
      </c>
      <c r="G23" s="21" t="n">
        <v>5</v>
      </c>
      <c r="H23" s="21" t="n">
        <v>0</v>
      </c>
      <c r="I23" s="16" t="inlineStr">
        <is>
          <t>CS-0173–CS-0177</t>
        </is>
      </c>
      <c r="J23" s="16" t="inlineStr">
        <is>
          <t>Executed – passed</t>
        </is>
      </c>
    </row>
    <row r="24">
      <c r="A24" s="15" t="inlineStr">
        <is>
          <t>AP-23</t>
        </is>
      </c>
      <c r="B24" s="16" t="inlineStr">
        <is>
          <t>Policy management</t>
        </is>
      </c>
      <c r="C24" s="16" t="inlineStr">
        <is>
          <t>Policy search</t>
        </is>
      </c>
      <c r="D24" s="16" t="inlineStr">
        <is>
          <t>TS-27</t>
        </is>
      </c>
      <c r="E24" s="21" t="n">
        <v>5</v>
      </c>
      <c r="F24" s="21" t="n">
        <v>5</v>
      </c>
      <c r="G24" s="21" t="n">
        <v>5</v>
      </c>
      <c r="H24" s="21" t="n">
        <v>0</v>
      </c>
      <c r="I24" s="16" t="inlineStr">
        <is>
          <t>CS-0173–CS-0177</t>
        </is>
      </c>
      <c r="J24" s="16" t="inlineStr">
        <is>
          <t>Executed – passed</t>
        </is>
      </c>
    </row>
    <row r="25">
      <c r="A25" s="15" t="inlineStr">
        <is>
          <t>AP-24</t>
        </is>
      </c>
      <c r="B25" s="16" t="inlineStr">
        <is>
          <t>Policy management</t>
        </is>
      </c>
      <c r="C25" s="16" t="inlineStr">
        <is>
          <t>Policy details</t>
        </is>
      </c>
      <c r="D25" s="16" t="inlineStr">
        <is>
          <t>TS-27</t>
        </is>
      </c>
      <c r="E25" s="21" t="n">
        <v>5</v>
      </c>
      <c r="F25" s="21" t="n">
        <v>5</v>
      </c>
      <c r="G25" s="21" t="n">
        <v>5</v>
      </c>
      <c r="H25" s="21" t="n">
        <v>0</v>
      </c>
      <c r="I25" s="16" t="inlineStr">
        <is>
          <t>CS-0173–CS-0177</t>
        </is>
      </c>
      <c r="J25" s="16" t="inlineStr">
        <is>
          <t>Executed – passed</t>
        </is>
      </c>
    </row>
    <row r="26">
      <c r="A26" s="15" t="inlineStr">
        <is>
          <t>AP-25</t>
        </is>
      </c>
      <c r="B26" s="16" t="inlineStr">
        <is>
          <t>Policy management</t>
        </is>
      </c>
      <c r="C26" s="16" t="inlineStr">
        <is>
          <t>Policy issuance (submit eligible quotations)</t>
        </is>
      </c>
      <c r="D26" s="16" t="inlineStr">
        <is>
          <t>TS-24</t>
        </is>
      </c>
      <c r="E26" s="21" t="n">
        <v>6</v>
      </c>
      <c r="F26" s="21" t="n">
        <v>5</v>
      </c>
      <c r="G26" s="21" t="n">
        <v>5</v>
      </c>
      <c r="H26" s="21" t="n">
        <v>0</v>
      </c>
      <c r="I26" s="16" t="inlineStr">
        <is>
          <t>CS-0157–CS-0162</t>
        </is>
      </c>
      <c r="J26" s="16" t="inlineStr">
        <is>
          <t>Partly executed – passed</t>
        </is>
      </c>
    </row>
    <row r="27">
      <c r="A27" s="15" t="inlineStr">
        <is>
          <t>AP-26</t>
        </is>
      </c>
      <c r="B27" s="16" t="inlineStr">
        <is>
          <t>Policy management</t>
        </is>
      </c>
      <c r="C27" s="16" t="inlineStr">
        <is>
          <t>Policy renewal</t>
        </is>
      </c>
      <c r="D27" s="16" t="inlineStr">
        <is>
          <t>TS-29, TS-34</t>
        </is>
      </c>
      <c r="E27" s="21" t="n">
        <v>5</v>
      </c>
      <c r="F27" s="21" t="n">
        <v>3</v>
      </c>
      <c r="G27" s="21" t="n">
        <v>3</v>
      </c>
      <c r="H27" s="21" t="n">
        <v>0</v>
      </c>
      <c r="I27" s="16" t="inlineStr">
        <is>
          <t>CS-0184, CS-0202–CS-0205</t>
        </is>
      </c>
      <c r="J27" s="16" t="inlineStr">
        <is>
          <t>Partly executed – passed</t>
        </is>
      </c>
    </row>
    <row r="28">
      <c r="A28" s="15" t="inlineStr">
        <is>
          <t>AP-27</t>
        </is>
      </c>
      <c r="B28" s="16" t="inlineStr">
        <is>
          <t>Policy management</t>
        </is>
      </c>
      <c r="C28" s="16" t="inlineStr">
        <is>
          <t>Policy endorsement</t>
        </is>
      </c>
      <c r="D28" s="16" t="inlineStr">
        <is>
          <t>TS-35</t>
        </is>
      </c>
      <c r="E28" s="21" t="n">
        <v>3</v>
      </c>
      <c r="F28" s="21" t="n">
        <v>3</v>
      </c>
      <c r="G28" s="21" t="n">
        <v>3</v>
      </c>
      <c r="H28" s="21" t="n">
        <v>0</v>
      </c>
      <c r="I28" s="16" t="inlineStr">
        <is>
          <t>CS-0206–CS-0208</t>
        </is>
      </c>
      <c r="J28" s="16" t="inlineStr">
        <is>
          <t>Executed – passed</t>
        </is>
      </c>
    </row>
    <row r="29">
      <c r="A29" s="15" t="inlineStr">
        <is>
          <t>AP-28</t>
        </is>
      </c>
      <c r="B29" s="16" t="inlineStr">
        <is>
          <t>Policy management</t>
        </is>
      </c>
      <c r="C29" s="16" t="inlineStr">
        <is>
          <t>Policy cancellation</t>
        </is>
      </c>
      <c r="D29" s="16" t="inlineStr">
        <is>
          <t>TS-36</t>
        </is>
      </c>
      <c r="E29" s="21" t="n">
        <v>3</v>
      </c>
      <c r="F29" s="21" t="n">
        <v>2</v>
      </c>
      <c r="G29" s="21" t="n">
        <v>2</v>
      </c>
      <c r="H29" s="21" t="n">
        <v>0</v>
      </c>
      <c r="I29" s="16" t="inlineStr">
        <is>
          <t>CS-0209–CS-0211</t>
        </is>
      </c>
      <c r="J29" s="16" t="inlineStr">
        <is>
          <t>Partly executed – passed</t>
        </is>
      </c>
    </row>
    <row r="30">
      <c r="A30" s="15" t="inlineStr">
        <is>
          <t>AP-29</t>
        </is>
      </c>
      <c r="B30" s="16" t="inlineStr">
        <is>
          <t>Policy management</t>
        </is>
      </c>
      <c r="C30" s="16" t="inlineStr">
        <is>
          <t>Policy documents</t>
        </is>
      </c>
      <c r="D30" s="16" t="inlineStr">
        <is>
          <t>TS-28</t>
        </is>
      </c>
      <c r="E30" s="21" t="n">
        <v>6</v>
      </c>
      <c r="F30" s="21" t="n">
        <v>6</v>
      </c>
      <c r="G30" s="21" t="n">
        <v>6</v>
      </c>
      <c r="H30" s="21" t="n">
        <v>0</v>
      </c>
      <c r="I30" s="16" t="inlineStr">
        <is>
          <t>CS-0178–CS-0183</t>
        </is>
      </c>
      <c r="J30" s="16" t="inlineStr">
        <is>
          <t>Executed – passed</t>
        </is>
      </c>
    </row>
    <row r="31">
      <c r="A31" s="15" t="inlineStr">
        <is>
          <t>AP-30</t>
        </is>
      </c>
      <c r="B31" s="16" t="inlineStr">
        <is>
          <t>Policy management</t>
        </is>
      </c>
      <c r="C31" s="16" t="inlineStr">
        <is>
          <t>Payment status and outstanding amounts</t>
        </is>
      </c>
      <c r="D31" s="16" t="inlineStr">
        <is>
          <t>TS-30</t>
        </is>
      </c>
      <c r="E31" s="21" t="n">
        <v>1</v>
      </c>
      <c r="F31" s="21" t="n">
        <v>0</v>
      </c>
      <c r="G31" s="21" t="n">
        <v>0</v>
      </c>
      <c r="H31" s="21" t="n">
        <v>0</v>
      </c>
      <c r="I31" s="16" t="inlineStr">
        <is>
          <t>CS-0185</t>
        </is>
      </c>
      <c r="J31" s="16" t="inlineStr">
        <is>
          <t>Cases defined, not executed</t>
        </is>
      </c>
    </row>
    <row r="32">
      <c r="A32" s="15" t="inlineStr">
        <is>
          <t>AP-31</t>
        </is>
      </c>
      <c r="B32" s="16" t="inlineStr">
        <is>
          <t>Policy management</t>
        </is>
      </c>
      <c r="C32" s="16" t="inlineStr">
        <is>
          <t>Policy history</t>
        </is>
      </c>
      <c r="D32" s="16" t="inlineStr">
        <is>
          <t>TS-27</t>
        </is>
      </c>
      <c r="E32" s="21" t="n">
        <v>5</v>
      </c>
      <c r="F32" s="21" t="n">
        <v>5</v>
      </c>
      <c r="G32" s="21" t="n">
        <v>5</v>
      </c>
      <c r="H32" s="21" t="n">
        <v>0</v>
      </c>
      <c r="I32" s="16" t="inlineStr">
        <is>
          <t>CS-0173–CS-0177</t>
        </is>
      </c>
      <c r="J32" s="16" t="inlineStr">
        <is>
          <t>Executed – passed</t>
        </is>
      </c>
    </row>
    <row r="33">
      <c r="A33" s="15" t="inlineStr">
        <is>
          <t>AP-32</t>
        </is>
      </c>
      <c r="B33" s="16" t="inlineStr">
        <is>
          <t>Policy management</t>
        </is>
      </c>
      <c r="C33" s="16" t="inlineStr">
        <is>
          <t>Policy validation before submission</t>
        </is>
      </c>
      <c r="D33" s="16" t="inlineStr">
        <is>
          <t>TS-22, TS-24</t>
        </is>
      </c>
      <c r="E33" s="21" t="n">
        <v>20</v>
      </c>
      <c r="F33" s="21" t="n">
        <v>19</v>
      </c>
      <c r="G33" s="21" t="n">
        <v>19</v>
      </c>
      <c r="H33" s="21" t="n">
        <v>0</v>
      </c>
      <c r="I33" s="16" t="inlineStr">
        <is>
          <t>CS-0139–CS-0152, CS-0157–CS-0162</t>
        </is>
      </c>
      <c r="J33" s="16" t="inlineStr">
        <is>
          <t>Partly executed – passed</t>
        </is>
      </c>
    </row>
    <row r="34">
      <c r="A34" s="15" t="inlineStr">
        <is>
          <t>AP-33</t>
        </is>
      </c>
      <c r="B34" s="16" t="inlineStr">
        <is>
          <t>Policy management</t>
        </is>
      </c>
      <c r="C34" s="16" t="inlineStr">
        <is>
          <t>Approval workflow routing</t>
        </is>
      </c>
      <c r="D34" s="16" t="inlineStr">
        <is>
          <t>TS-24</t>
        </is>
      </c>
      <c r="E34" s="21" t="n">
        <v>6</v>
      </c>
      <c r="F34" s="21" t="n">
        <v>5</v>
      </c>
      <c r="G34" s="21" t="n">
        <v>5</v>
      </c>
      <c r="H34" s="21" t="n">
        <v>0</v>
      </c>
      <c r="I34" s="16" t="inlineStr">
        <is>
          <t>CS-0157–CS-0162</t>
        </is>
      </c>
      <c r="J34" s="16" t="inlineStr">
        <is>
          <t>Partly executed – passed</t>
        </is>
      </c>
    </row>
    <row r="35">
      <c r="A35" s="15" t="inlineStr">
        <is>
          <t>AP-34</t>
        </is>
      </c>
      <c r="B35" s="16" t="inlineStr">
        <is>
          <t>Policy management</t>
        </is>
      </c>
      <c r="C35" s="16" t="inlineStr">
        <is>
          <t>Notifications of status changes</t>
        </is>
      </c>
      <c r="D35" s="16" t="inlineStr">
        <is>
          <t>TS-29, TS-41</t>
        </is>
      </c>
      <c r="E35" s="21" t="n">
        <v>4</v>
      </c>
      <c r="F35" s="21" t="n">
        <v>2</v>
      </c>
      <c r="G35" s="21" t="n">
        <v>2</v>
      </c>
      <c r="H35" s="21" t="n">
        <v>0</v>
      </c>
      <c r="I35" s="16" t="inlineStr">
        <is>
          <t>CS-0184, CS-0236–CS-0238</t>
        </is>
      </c>
      <c r="J35" s="16" t="inlineStr">
        <is>
          <t>Partly executed – passed</t>
        </is>
      </c>
    </row>
    <row r="36">
      <c r="A36" s="15" t="inlineStr">
        <is>
          <t>AP-35</t>
        </is>
      </c>
      <c r="B36" s="16" t="inlineStr">
        <is>
          <t>Policy management</t>
        </is>
      </c>
      <c r="C36" s="16" t="inlineStr">
        <is>
          <t>Policy audit trail</t>
        </is>
      </c>
      <c r="D36" s="16" t="inlineStr">
        <is>
          <t>TS-46</t>
        </is>
      </c>
      <c r="E36" s="21" t="n">
        <v>3</v>
      </c>
      <c r="F36" s="21" t="n">
        <v>3</v>
      </c>
      <c r="G36" s="21" t="n">
        <v>3</v>
      </c>
      <c r="H36" s="21" t="n">
        <v>0</v>
      </c>
      <c r="I36" s="16" t="inlineStr">
        <is>
          <t>CS-0261–CS-0263</t>
        </is>
      </c>
      <c r="J36" s="16" t="inlineStr">
        <is>
          <t>Executed – passed</t>
        </is>
      </c>
    </row>
    <row r="37">
      <c r="A37" s="15" t="inlineStr">
        <is>
          <t>AP-36</t>
        </is>
      </c>
      <c r="B37" s="16" t="inlineStr">
        <is>
          <t>Policy management</t>
        </is>
      </c>
      <c r="C37" s="16" t="inlineStr">
        <is>
          <t>Policy restrictions (payment, compliance)</t>
        </is>
      </c>
      <c r="D37" s="16" t="inlineStr">
        <is>
          <t>TS-22, TS-24</t>
        </is>
      </c>
      <c r="E37" s="21" t="n">
        <v>20</v>
      </c>
      <c r="F37" s="21" t="n">
        <v>19</v>
      </c>
      <c r="G37" s="21" t="n">
        <v>19</v>
      </c>
      <c r="H37" s="21" t="n">
        <v>0</v>
      </c>
      <c r="I37" s="16" t="inlineStr">
        <is>
          <t>CS-0139–CS-0152, CS-0157–CS-0162</t>
        </is>
      </c>
      <c r="J37" s="16" t="inlineStr">
        <is>
          <t>Partly executed – passed</t>
        </is>
      </c>
    </row>
    <row r="38">
      <c r="A38" s="15" t="inlineStr">
        <is>
          <t>AP-37</t>
        </is>
      </c>
      <c r="B38" s="16" t="inlineStr">
        <is>
          <t>Billing management</t>
        </is>
      </c>
      <c r="C38" s="16" t="inlineStr">
        <is>
          <t>Payment dashboard</t>
        </is>
      </c>
      <c r="D38" s="16" t="inlineStr">
        <is>
          <t>TS-30</t>
        </is>
      </c>
      <c r="E38" s="21" t="n">
        <v>1</v>
      </c>
      <c r="F38" s="21" t="n">
        <v>0</v>
      </c>
      <c r="G38" s="21" t="n">
        <v>0</v>
      </c>
      <c r="H38" s="21" t="n">
        <v>0</v>
      </c>
      <c r="I38" s="16" t="inlineStr">
        <is>
          <t>CS-0185</t>
        </is>
      </c>
      <c r="J38" s="16" t="inlineStr">
        <is>
          <t>Cases defined, not executed</t>
        </is>
      </c>
    </row>
    <row r="39">
      <c r="A39" s="15" t="inlineStr">
        <is>
          <t>AP-38</t>
        </is>
      </c>
      <c r="B39" s="16" t="inlineStr">
        <is>
          <t>Billing management</t>
        </is>
      </c>
      <c r="C39" s="16" t="inlineStr">
        <is>
          <t>Bulk payment per policy</t>
        </is>
      </c>
      <c r="D39" s="16" t="inlineStr">
        <is>
          <t>TS-31</t>
        </is>
      </c>
      <c r="E39" s="21" t="n">
        <v>10</v>
      </c>
      <c r="F39" s="21" t="n">
        <v>10</v>
      </c>
      <c r="G39" s="21" t="n">
        <v>10</v>
      </c>
      <c r="H39" s="21" t="n">
        <v>0</v>
      </c>
      <c r="I39" s="16" t="inlineStr">
        <is>
          <t>CS-0186–CS-0195</t>
        </is>
      </c>
      <c r="J39" s="16" t="inlineStr">
        <is>
          <t>Executed – passed</t>
        </is>
      </c>
    </row>
    <row r="40">
      <c r="A40" s="15" t="inlineStr">
        <is>
          <t>AP-39</t>
        </is>
      </c>
      <c r="B40" s="16" t="inlineStr">
        <is>
          <t>Billing management</t>
        </is>
      </c>
      <c r="C40" s="16" t="inlineStr">
        <is>
          <t>Upload payment proof</t>
        </is>
      </c>
      <c r="D40" s="16" t="inlineStr">
        <is>
          <t>TS-31</t>
        </is>
      </c>
      <c r="E40" s="21" t="n">
        <v>10</v>
      </c>
      <c r="F40" s="21" t="n">
        <v>10</v>
      </c>
      <c r="G40" s="21" t="n">
        <v>10</v>
      </c>
      <c r="H40" s="21" t="n">
        <v>0</v>
      </c>
      <c r="I40" s="16" t="inlineStr">
        <is>
          <t>CS-0186–CS-0195</t>
        </is>
      </c>
      <c r="J40" s="16" t="inlineStr">
        <is>
          <t>Executed – passed</t>
        </is>
      </c>
    </row>
    <row r="41">
      <c r="A41" s="15" t="inlineStr">
        <is>
          <t>AP-40</t>
        </is>
      </c>
      <c r="B41" s="16" t="inlineStr">
        <is>
          <t>Billing management</t>
        </is>
      </c>
      <c r="C41" s="16" t="inlineStr">
        <is>
          <t>Payment verification routing</t>
        </is>
      </c>
      <c r="D41" s="16" t="inlineStr">
        <is>
          <t>TS-31</t>
        </is>
      </c>
      <c r="E41" s="21" t="n">
        <v>10</v>
      </c>
      <c r="F41" s="21" t="n">
        <v>10</v>
      </c>
      <c r="G41" s="21" t="n">
        <v>10</v>
      </c>
      <c r="H41" s="21" t="n">
        <v>0</v>
      </c>
      <c r="I41" s="16" t="inlineStr">
        <is>
          <t>CS-0186–CS-0195</t>
        </is>
      </c>
      <c r="J41" s="16" t="inlineStr">
        <is>
          <t>Executed – passed</t>
        </is>
      </c>
    </row>
    <row r="42">
      <c r="A42" s="15" t="inlineStr">
        <is>
          <t>AP-41</t>
        </is>
      </c>
      <c r="B42" s="16" t="inlineStr">
        <is>
          <t>Billing management</t>
        </is>
      </c>
      <c r="C42" s="16" t="inlineStr">
        <is>
          <t>Receipt generation</t>
        </is>
      </c>
      <c r="D42" s="16" t="inlineStr">
        <is>
          <t>TS-28, TS-31</t>
        </is>
      </c>
      <c r="E42" s="21" t="n">
        <v>16</v>
      </c>
      <c r="F42" s="21" t="n">
        <v>16</v>
      </c>
      <c r="G42" s="21" t="n">
        <v>16</v>
      </c>
      <c r="H42" s="21" t="n">
        <v>0</v>
      </c>
      <c r="I42" s="16" t="inlineStr">
        <is>
          <t>CS-0178–CS-0183, CS-0186–CS-0195</t>
        </is>
      </c>
      <c r="J42" s="16" t="inlineStr">
        <is>
          <t>Executed – passed</t>
        </is>
      </c>
    </row>
    <row r="43">
      <c r="A43" s="15" t="inlineStr">
        <is>
          <t>AP-42</t>
        </is>
      </c>
      <c r="B43" s="16" t="inlineStr">
        <is>
          <t>Billing management</t>
        </is>
      </c>
      <c r="C43" s="16" t="inlineStr">
        <is>
          <t>Payment rules: grace period and issuance block</t>
        </is>
      </c>
      <c r="D43" s="16" t="inlineStr">
        <is>
          <t>TS-32</t>
        </is>
      </c>
      <c r="E43" s="21" t="n">
        <v>5</v>
      </c>
      <c r="F43" s="21" t="n">
        <v>3</v>
      </c>
      <c r="G43" s="21" t="n">
        <v>3</v>
      </c>
      <c r="H43" s="21" t="n">
        <v>0</v>
      </c>
      <c r="I43" s="16" t="inlineStr">
        <is>
          <t>CS-0196–CS-0200</t>
        </is>
      </c>
      <c r="J43" s="16" t="inlineStr">
        <is>
          <t>Partly executed – passed</t>
        </is>
      </c>
    </row>
    <row r="44">
      <c r="A44" s="15" t="inlineStr">
        <is>
          <t>AP-43</t>
        </is>
      </c>
      <c r="B44" s="16" t="inlineStr">
        <is>
          <t>Claims management</t>
        </is>
      </c>
      <c r="C44" s="16" t="inlineStr">
        <is>
          <t>Claims notification</t>
        </is>
      </c>
      <c r="D44" s="16" t="inlineStr">
        <is>
          <t>TS-37</t>
        </is>
      </c>
      <c r="E44" s="21" t="n">
        <v>5</v>
      </c>
      <c r="F44" s="21" t="n">
        <v>5</v>
      </c>
      <c r="G44" s="21" t="n">
        <v>4</v>
      </c>
      <c r="H44" s="21" t="n">
        <v>1</v>
      </c>
      <c r="I44" s="16" t="inlineStr">
        <is>
          <t>CS-0212–CS-0216</t>
        </is>
      </c>
      <c r="J44" s="16" t="inlineStr">
        <is>
          <t>Executed – failure open</t>
        </is>
      </c>
    </row>
    <row r="45">
      <c r="A45" s="15" t="inlineStr">
        <is>
          <t>AP-44</t>
        </is>
      </c>
      <c r="B45" s="16" t="inlineStr">
        <is>
          <t>Document management</t>
        </is>
      </c>
      <c r="C45" s="16" t="inlineStr">
        <is>
          <t>Policy schedule / receipt generation</t>
        </is>
      </c>
      <c r="D45" s="16" t="inlineStr">
        <is>
          <t>TS-28</t>
        </is>
      </c>
      <c r="E45" s="21" t="n">
        <v>6</v>
      </c>
      <c r="F45" s="21" t="n">
        <v>6</v>
      </c>
      <c r="G45" s="21" t="n">
        <v>6</v>
      </c>
      <c r="H45" s="21" t="n">
        <v>0</v>
      </c>
      <c r="I45" s="16" t="inlineStr">
        <is>
          <t>CS-0178–CS-0183</t>
        </is>
      </c>
      <c r="J45" s="16" t="inlineStr">
        <is>
          <t>Executed – passed</t>
        </is>
      </c>
    </row>
    <row r="46">
      <c r="A46" s="15" t="inlineStr">
        <is>
          <t>AP-45</t>
        </is>
      </c>
      <c r="B46" s="16" t="inlineStr">
        <is>
          <t>Document management</t>
        </is>
      </c>
      <c r="C46" s="16" t="inlineStr">
        <is>
          <t>Document download and e-mail</t>
        </is>
      </c>
      <c r="D46" s="16" t="inlineStr">
        <is>
          <t>TS-28</t>
        </is>
      </c>
      <c r="E46" s="21" t="n">
        <v>6</v>
      </c>
      <c r="F46" s="21" t="n">
        <v>6</v>
      </c>
      <c r="G46" s="21" t="n">
        <v>6</v>
      </c>
      <c r="H46" s="21" t="n">
        <v>0</v>
      </c>
      <c r="I46" s="16" t="inlineStr">
        <is>
          <t>CS-0178–CS-0183</t>
        </is>
      </c>
      <c r="J46" s="16" t="inlineStr">
        <is>
          <t>Executed – passed</t>
        </is>
      </c>
    </row>
    <row r="47">
      <c r="A47" s="15" t="inlineStr">
        <is>
          <t>AP-46</t>
        </is>
      </c>
      <c r="B47" s="16" t="inlineStr">
        <is>
          <t>Document management</t>
        </is>
      </c>
      <c r="C47" s="16" t="inlineStr">
        <is>
          <t>Document upload</t>
        </is>
      </c>
      <c r="D47" s="16" t="inlineStr">
        <is>
          <t>TS-22, TS-38</t>
        </is>
      </c>
      <c r="E47" s="21" t="n">
        <v>26</v>
      </c>
      <c r="F47" s="21" t="n">
        <v>25</v>
      </c>
      <c r="G47" s="21" t="n">
        <v>25</v>
      </c>
      <c r="H47" s="21" t="n">
        <v>0</v>
      </c>
      <c r="I47" s="16" t="inlineStr">
        <is>
          <t>CS-0139–CS-0152, CS-0217–CS-0228</t>
        </is>
      </c>
      <c r="J47" s="16" t="inlineStr">
        <is>
          <t>Partly executed – passed</t>
        </is>
      </c>
    </row>
    <row r="48">
      <c r="A48" s="15" t="inlineStr">
        <is>
          <t>AP-47</t>
        </is>
      </c>
      <c r="B48" s="16" t="inlineStr">
        <is>
          <t>Document management</t>
        </is>
      </c>
      <c r="C48" s="16" t="inlineStr">
        <is>
          <t>Document status, validity and expiry</t>
        </is>
      </c>
      <c r="D48" s="16" t="inlineStr">
        <is>
          <t>TS-38</t>
        </is>
      </c>
      <c r="E48" s="21" t="n">
        <v>12</v>
      </c>
      <c r="F48" s="21" t="n">
        <v>11</v>
      </c>
      <c r="G48" s="21" t="n">
        <v>11</v>
      </c>
      <c r="H48" s="21" t="n">
        <v>0</v>
      </c>
      <c r="I48" s="16" t="inlineStr">
        <is>
          <t>CS-0217–CS-0228</t>
        </is>
      </c>
      <c r="J48" s="16" t="inlineStr">
        <is>
          <t>Partly executed – passed</t>
        </is>
      </c>
    </row>
    <row r="49">
      <c r="A49" s="15" t="inlineStr">
        <is>
          <t>AP-48</t>
        </is>
      </c>
      <c r="B49" s="16" t="inlineStr">
        <is>
          <t>AML/KYC</t>
        </is>
      </c>
      <c r="C49" s="16" t="inlineStr">
        <is>
          <t>AML/KYC information capture</t>
        </is>
      </c>
      <c r="D49" s="16" t="inlineStr">
        <is>
          <t>TS-08, TS-11</t>
        </is>
      </c>
      <c r="E49" s="21" t="n">
        <v>14</v>
      </c>
      <c r="F49" s="21" t="n">
        <v>13</v>
      </c>
      <c r="G49" s="21" t="n">
        <v>13</v>
      </c>
      <c r="H49" s="21" t="n">
        <v>0</v>
      </c>
      <c r="I49" s="16" t="inlineStr">
        <is>
          <t>CS-0053–CS-0060, CS-0071–CS-0076</t>
        </is>
      </c>
      <c r="J49" s="16" t="inlineStr">
        <is>
          <t>Partly executed – passed</t>
        </is>
      </c>
    </row>
    <row r="50">
      <c r="A50" s="15" t="inlineStr">
        <is>
          <t>AP-49</t>
        </is>
      </c>
      <c r="B50" s="16" t="inlineStr">
        <is>
          <t>Workflow</t>
        </is>
      </c>
      <c r="C50" s="16" t="inlineStr">
        <is>
          <t>Application submission and tracking</t>
        </is>
      </c>
      <c r="D50" s="16" t="inlineStr">
        <is>
          <t>TS-21</t>
        </is>
      </c>
      <c r="E50" s="21" t="n">
        <v>7</v>
      </c>
      <c r="F50" s="21" t="n">
        <v>6</v>
      </c>
      <c r="G50" s="21" t="n">
        <v>6</v>
      </c>
      <c r="H50" s="21" t="n">
        <v>0</v>
      </c>
      <c r="I50" s="16" t="inlineStr">
        <is>
          <t>CS-0132–CS-0138</t>
        </is>
      </c>
      <c r="J50" s="16" t="inlineStr">
        <is>
          <t>Partly executed – passed</t>
        </is>
      </c>
    </row>
    <row r="51">
      <c r="A51" s="15" t="inlineStr">
        <is>
          <t>AP-50</t>
        </is>
      </c>
      <c r="B51" s="16" t="inlineStr">
        <is>
          <t>Workflow</t>
        </is>
      </c>
      <c r="C51" s="16" t="inlineStr">
        <is>
          <t>Application status</t>
        </is>
      </c>
      <c r="D51" s="16" t="inlineStr">
        <is>
          <t>TS-21</t>
        </is>
      </c>
      <c r="E51" s="21" t="n">
        <v>7</v>
      </c>
      <c r="F51" s="21" t="n">
        <v>6</v>
      </c>
      <c r="G51" s="21" t="n">
        <v>6</v>
      </c>
      <c r="H51" s="21" t="n">
        <v>0</v>
      </c>
      <c r="I51" s="16" t="inlineStr">
        <is>
          <t>CS-0132–CS-0138</t>
        </is>
      </c>
      <c r="J51" s="16" t="inlineStr">
        <is>
          <t>Partly executed – passed</t>
        </is>
      </c>
    </row>
    <row r="52">
      <c r="A52" s="15" t="inlineStr">
        <is>
          <t>AP-51</t>
        </is>
      </c>
      <c r="B52" s="16" t="inlineStr">
        <is>
          <t>Workflow</t>
        </is>
      </c>
      <c r="C52" s="16" t="inlineStr">
        <is>
          <t>Rejection remarks and resubmission</t>
        </is>
      </c>
      <c r="D52" s="16" t="inlineStr">
        <is>
          <t>TS-26</t>
        </is>
      </c>
      <c r="E52" s="21" t="n">
        <v>1</v>
      </c>
      <c r="F52" s="21" t="n">
        <v>1</v>
      </c>
      <c r="G52" s="21" t="n">
        <v>1</v>
      </c>
      <c r="H52" s="21" t="n">
        <v>0</v>
      </c>
      <c r="I52" s="16" t="inlineStr">
        <is>
          <t>CS-0172</t>
        </is>
      </c>
      <c r="J52" s="16" t="inlineStr">
        <is>
          <t>Executed – passed</t>
        </is>
      </c>
    </row>
    <row r="53">
      <c r="A53" s="15" t="inlineStr">
        <is>
          <t>AP-52</t>
        </is>
      </c>
      <c r="B53" s="16" t="inlineStr">
        <is>
          <t>Dashboard</t>
        </is>
      </c>
      <c r="C53" s="16" t="inlineStr">
        <is>
          <t>Agent dashboard</t>
        </is>
      </c>
      <c r="D53" s="16" t="inlineStr">
        <is>
          <t>TS-40</t>
        </is>
      </c>
      <c r="E53" s="21" t="n">
        <v>5</v>
      </c>
      <c r="F53" s="21" t="n">
        <v>5</v>
      </c>
      <c r="G53" s="21" t="n">
        <v>5</v>
      </c>
      <c r="H53" s="21" t="n">
        <v>0</v>
      </c>
      <c r="I53" s="16" t="inlineStr">
        <is>
          <t>CS-0231–CS-0235</t>
        </is>
      </c>
      <c r="J53" s="16" t="inlineStr">
        <is>
          <t>Executed – passed</t>
        </is>
      </c>
    </row>
    <row r="54">
      <c r="A54" s="15" t="inlineStr">
        <is>
          <t>AP-53</t>
        </is>
      </c>
      <c r="B54" s="16" t="inlineStr">
        <is>
          <t>Dashboard</t>
        </is>
      </c>
      <c r="C54" s="16" t="inlineStr">
        <is>
          <t>Pending actions</t>
        </is>
      </c>
      <c r="D54" s="16" t="inlineStr">
        <is>
          <t>TS-40</t>
        </is>
      </c>
      <c r="E54" s="21" t="n">
        <v>5</v>
      </c>
      <c r="F54" s="21" t="n">
        <v>5</v>
      </c>
      <c r="G54" s="21" t="n">
        <v>5</v>
      </c>
      <c r="H54" s="21" t="n">
        <v>0</v>
      </c>
      <c r="I54" s="16" t="inlineStr">
        <is>
          <t>CS-0231–CS-0235</t>
        </is>
      </c>
      <c r="J54" s="16" t="inlineStr">
        <is>
          <t>Executed – passed</t>
        </is>
      </c>
    </row>
    <row r="55">
      <c r="A55" s="15" t="inlineStr">
        <is>
          <t>AP-54</t>
        </is>
      </c>
      <c r="B55" s="16" t="inlineStr">
        <is>
          <t>Notification</t>
        </is>
      </c>
      <c r="C55" s="16" t="inlineStr">
        <is>
          <t>Notifications</t>
        </is>
      </c>
      <c r="D55" s="16" t="inlineStr">
        <is>
          <t>TS-26, TS-41</t>
        </is>
      </c>
      <c r="E55" s="21" t="n">
        <v>4</v>
      </c>
      <c r="F55" s="21" t="n">
        <v>3</v>
      </c>
      <c r="G55" s="21" t="n">
        <v>3</v>
      </c>
      <c r="H55" s="21" t="n">
        <v>0</v>
      </c>
      <c r="I55" s="16" t="inlineStr">
        <is>
          <t>CS-0172, CS-0236–CS-0238</t>
        </is>
      </c>
      <c r="J55" s="16" t="inlineStr">
        <is>
          <t>Partly executed – passed</t>
        </is>
      </c>
    </row>
    <row r="56">
      <c r="A56" s="15" t="inlineStr">
        <is>
          <t>AP-55</t>
        </is>
      </c>
      <c r="B56" s="16" t="inlineStr">
        <is>
          <t>Issue management</t>
        </is>
      </c>
      <c r="C56" s="16" t="inlineStr">
        <is>
          <t>Report issue</t>
        </is>
      </c>
      <c r="D56" s="16" t="inlineStr">
        <is>
          <t>TS-42</t>
        </is>
      </c>
      <c r="E56" s="21" t="n">
        <v>9</v>
      </c>
      <c r="F56" s="21" t="n">
        <v>8</v>
      </c>
      <c r="G56" s="21" t="n">
        <v>8</v>
      </c>
      <c r="H56" s="21" t="n">
        <v>0</v>
      </c>
      <c r="I56" s="16" t="inlineStr">
        <is>
          <t>CS-0239–CS-0247</t>
        </is>
      </c>
      <c r="J56" s="16" t="inlineStr">
        <is>
          <t>Partly executed – passed</t>
        </is>
      </c>
    </row>
    <row r="57">
      <c r="A57" s="15" t="inlineStr">
        <is>
          <t>AP-56</t>
        </is>
      </c>
      <c r="B57" s="16" t="inlineStr">
        <is>
          <t>Issue management</t>
        </is>
      </c>
      <c r="C57" s="16" t="inlineStr">
        <is>
          <t>Issue tracking and reference</t>
        </is>
      </c>
      <c r="D57" s="16" t="inlineStr">
        <is>
          <t>TS-42</t>
        </is>
      </c>
      <c r="E57" s="21" t="n">
        <v>9</v>
      </c>
      <c r="F57" s="21" t="n">
        <v>8</v>
      </c>
      <c r="G57" s="21" t="n">
        <v>8</v>
      </c>
      <c r="H57" s="21" t="n">
        <v>0</v>
      </c>
      <c r="I57" s="16" t="inlineStr">
        <is>
          <t>CS-0239–CS-0247</t>
        </is>
      </c>
      <c r="J57" s="16" t="inlineStr">
        <is>
          <t>Partly executed – passed</t>
        </is>
      </c>
    </row>
    <row r="58">
      <c r="A58" s="15" t="inlineStr">
        <is>
          <t>AP-57</t>
        </is>
      </c>
      <c r="B58" s="16" t="inlineStr">
        <is>
          <t>Issue management</t>
        </is>
      </c>
      <c r="C58" s="16" t="inlineStr">
        <is>
          <t>Issue attachments</t>
        </is>
      </c>
      <c r="D58" s="16" t="inlineStr">
        <is>
          <t>TS-42</t>
        </is>
      </c>
      <c r="E58" s="21" t="n">
        <v>9</v>
      </c>
      <c r="F58" s="21" t="n">
        <v>8</v>
      </c>
      <c r="G58" s="21" t="n">
        <v>8</v>
      </c>
      <c r="H58" s="21" t="n">
        <v>0</v>
      </c>
      <c r="I58" s="16" t="inlineStr">
        <is>
          <t>CS-0239–CS-0247</t>
        </is>
      </c>
      <c r="J58" s="16" t="inlineStr">
        <is>
          <t>Partly executed – passed</t>
        </is>
      </c>
    </row>
    <row r="59">
      <c r="A59" s="15" t="inlineStr">
        <is>
          <t>AP-58</t>
        </is>
      </c>
      <c r="B59" s="16" t="inlineStr">
        <is>
          <t>Reporting</t>
        </is>
      </c>
      <c r="C59" s="16" t="inlineStr">
        <is>
          <t>Agency/agent/banca reports</t>
        </is>
      </c>
      <c r="D59" s="16" t="inlineStr">
        <is>
          <t>TS-44</t>
        </is>
      </c>
      <c r="E59" s="21" t="n">
        <v>2</v>
      </c>
      <c r="F59" s="21" t="n">
        <v>2</v>
      </c>
      <c r="G59" s="21" t="n">
        <v>2</v>
      </c>
      <c r="H59" s="21" t="n">
        <v>0</v>
      </c>
      <c r="I59" s="16" t="inlineStr">
        <is>
          <t>CS-0257–CS-0258</t>
        </is>
      </c>
      <c r="J59" s="16" t="inlineStr">
        <is>
          <t>Executed – passed</t>
        </is>
      </c>
    </row>
    <row r="60">
      <c r="A60" s="15" t="inlineStr">
        <is>
          <t>AP-59</t>
        </is>
      </c>
      <c r="B60" s="16" t="inlineStr">
        <is>
          <t>Security</t>
        </is>
      </c>
      <c r="C60" s="16" t="inlineStr">
        <is>
          <t>Role-based access</t>
        </is>
      </c>
      <c r="D60" s="16" t="inlineStr">
        <is>
          <t>TS-06, TS-07</t>
        </is>
      </c>
      <c r="E60" s="21" t="n">
        <v>15</v>
      </c>
      <c r="F60" s="21" t="n">
        <v>15</v>
      </c>
      <c r="G60" s="21" t="n">
        <v>15</v>
      </c>
      <c r="H60" s="21" t="n">
        <v>0</v>
      </c>
      <c r="I60" s="16" t="inlineStr">
        <is>
          <t>CS-0038–CS-0052</t>
        </is>
      </c>
      <c r="J60" s="16" t="inlineStr">
        <is>
          <t>Executed – passed</t>
        </is>
      </c>
    </row>
    <row r="61">
      <c r="A61" s="15" t="inlineStr">
        <is>
          <t>AP-60</t>
        </is>
      </c>
      <c r="B61" s="16" t="inlineStr">
        <is>
          <t>Approval workflow</t>
        </is>
      </c>
      <c r="C61" s="16" t="inlineStr">
        <is>
          <t>Authority limit routing</t>
        </is>
      </c>
      <c r="D61" s="16" t="inlineStr">
        <is>
          <t>TS-24</t>
        </is>
      </c>
      <c r="E61" s="21" t="n">
        <v>6</v>
      </c>
      <c r="F61" s="21" t="n">
        <v>5</v>
      </c>
      <c r="G61" s="21" t="n">
        <v>5</v>
      </c>
      <c r="H61" s="21" t="n">
        <v>0</v>
      </c>
      <c r="I61" s="16" t="inlineStr">
        <is>
          <t>CS-0157–CS-0162</t>
        </is>
      </c>
      <c r="J61" s="16" t="inlineStr">
        <is>
          <t>Partly executed – passed</t>
        </is>
      </c>
    </row>
    <row r="62">
      <c r="A62" s="15" t="inlineStr">
        <is>
          <t>AP-61</t>
        </is>
      </c>
      <c r="B62" s="16" t="inlineStr">
        <is>
          <t>Approval workflow</t>
        </is>
      </c>
      <c r="C62" s="16" t="inlineStr">
        <is>
          <t>Approval history</t>
        </is>
      </c>
      <c r="D62" s="16" t="inlineStr">
        <is>
          <t>TS-25, TS-46</t>
        </is>
      </c>
      <c r="E62" s="21" t="n">
        <v>12</v>
      </c>
      <c r="F62" s="21" t="n">
        <v>11</v>
      </c>
      <c r="G62" s="21" t="n">
        <v>11</v>
      </c>
      <c r="H62" s="21" t="n">
        <v>0</v>
      </c>
      <c r="I62" s="16" t="inlineStr">
        <is>
          <t>CS-0163–CS-0171, CS-0261–CS-0263</t>
        </is>
      </c>
      <c r="J62" s="16" t="inlineStr">
        <is>
          <t>Partly executed – passed</t>
        </is>
      </c>
    </row>
    <row r="63">
      <c r="A63" s="15" t="inlineStr">
        <is>
          <t>AP-62</t>
        </is>
      </c>
      <c r="B63" s="16" t="inlineStr">
        <is>
          <t>Digital signature</t>
        </is>
      </c>
      <c r="C63" s="16" t="inlineStr">
        <is>
          <t>Electronic signature</t>
        </is>
      </c>
      <c r="D63" s="16" t="inlineStr">
        <is>
          <t>TS-22, TS-23</t>
        </is>
      </c>
      <c r="E63" s="21" t="n">
        <v>18</v>
      </c>
      <c r="F63" s="21" t="n">
        <v>17</v>
      </c>
      <c r="G63" s="21" t="n">
        <v>17</v>
      </c>
      <c r="H63" s="21" t="n">
        <v>0</v>
      </c>
      <c r="I63" s="16" t="inlineStr">
        <is>
          <t>CS-0139–CS-0156</t>
        </is>
      </c>
      <c r="J63" s="16" t="inlineStr">
        <is>
          <t>Partly executed – passed</t>
        </is>
      </c>
    </row>
    <row r="64">
      <c r="A64" s="15" t="inlineStr">
        <is>
          <t>BO-01</t>
        </is>
      </c>
      <c r="B64" s="16" t="inlineStr">
        <is>
          <t>Authentication</t>
        </is>
      </c>
      <c r="C64" s="16" t="inlineStr">
        <is>
          <t>Secure login</t>
        </is>
      </c>
      <c r="D64" s="16" t="inlineStr">
        <is>
          <t>TS-01, TS-05</t>
        </is>
      </c>
      <c r="E64" s="21" t="n">
        <v>12</v>
      </c>
      <c r="F64" s="21" t="n">
        <v>9</v>
      </c>
      <c r="G64" s="21" t="n">
        <v>9</v>
      </c>
      <c r="H64" s="21" t="n">
        <v>0</v>
      </c>
      <c r="I64" s="16" t="inlineStr">
        <is>
          <t>CS-0001–CS-0009, CS-0035–CS-0037</t>
        </is>
      </c>
      <c r="J64" s="16" t="inlineStr">
        <is>
          <t>Partly executed – passed</t>
        </is>
      </c>
    </row>
    <row r="65">
      <c r="A65" s="15" t="inlineStr">
        <is>
          <t>BO-02</t>
        </is>
      </c>
      <c r="B65" s="16" t="inlineStr">
        <is>
          <t>Access control</t>
        </is>
      </c>
      <c r="C65" s="16" t="inlineStr">
        <is>
          <t>Role-based access control</t>
        </is>
      </c>
      <c r="D65" s="16" t="inlineStr">
        <is>
          <t>TS-06</t>
        </is>
      </c>
      <c r="E65" s="21" t="n">
        <v>9</v>
      </c>
      <c r="F65" s="21" t="n">
        <v>9</v>
      </c>
      <c r="G65" s="21" t="n">
        <v>9</v>
      </c>
      <c r="H65" s="21" t="n">
        <v>0</v>
      </c>
      <c r="I65" s="16" t="inlineStr">
        <is>
          <t>CS-0038–CS-0046</t>
        </is>
      </c>
      <c r="J65" s="16" t="inlineStr">
        <is>
          <t>Executed – passed</t>
        </is>
      </c>
    </row>
    <row r="66">
      <c r="A66" s="15" t="inlineStr">
        <is>
          <t>BO-03</t>
        </is>
      </c>
      <c r="B66" s="16" t="inlineStr">
        <is>
          <t>User management</t>
        </is>
      </c>
      <c r="C66" s="16" t="inlineStr">
        <is>
          <t>User administration</t>
        </is>
      </c>
      <c r="D66" s="16" t="inlineStr">
        <is>
          <t>TS-47</t>
        </is>
      </c>
      <c r="E66" s="21" t="n">
        <v>5</v>
      </c>
      <c r="F66" s="21" t="n">
        <v>5</v>
      </c>
      <c r="G66" s="21" t="n">
        <v>4</v>
      </c>
      <c r="H66" s="21" t="n">
        <v>1</v>
      </c>
      <c r="I66" s="16" t="inlineStr">
        <is>
          <t>CS-0264–CS-0268</t>
        </is>
      </c>
      <c r="J66" s="16" t="inlineStr">
        <is>
          <t>Executed – failure open</t>
        </is>
      </c>
    </row>
    <row r="67">
      <c r="A67" s="15" t="inlineStr">
        <is>
          <t>BO-04</t>
        </is>
      </c>
      <c r="B67" s="16" t="inlineStr">
        <is>
          <t>User management</t>
        </is>
      </c>
      <c r="C67" s="16" t="inlineStr">
        <is>
          <t>Role and permission management</t>
        </is>
      </c>
      <c r="D67" s="16" t="inlineStr">
        <is>
          <t>TS-48</t>
        </is>
      </c>
      <c r="E67" s="21" t="n">
        <v>2</v>
      </c>
      <c r="F67" s="21" t="n">
        <v>2</v>
      </c>
      <c r="G67" s="21" t="n">
        <v>2</v>
      </c>
      <c r="H67" s="21" t="n">
        <v>0</v>
      </c>
      <c r="I67" s="16" t="inlineStr">
        <is>
          <t>CS-0269–CS-0270</t>
        </is>
      </c>
      <c r="J67" s="16" t="inlineStr">
        <is>
          <t>Executed – passed</t>
        </is>
      </c>
    </row>
    <row r="68">
      <c r="A68" s="15" t="inlineStr">
        <is>
          <t>BO-05</t>
        </is>
      </c>
      <c r="B68" s="16" t="inlineStr">
        <is>
          <t>Agent management</t>
        </is>
      </c>
      <c r="C68" s="16" t="inlineStr">
        <is>
          <t>Agent administration</t>
        </is>
      </c>
      <c r="D68" s="16" t="inlineStr">
        <is>
          <t>TS-10</t>
        </is>
      </c>
      <c r="E68" s="21" t="n">
        <v>6</v>
      </c>
      <c r="F68" s="21" t="n">
        <v>5</v>
      </c>
      <c r="G68" s="21" t="n">
        <v>5</v>
      </c>
      <c r="H68" s="21" t="n">
        <v>0</v>
      </c>
      <c r="I68" s="16" t="inlineStr">
        <is>
          <t>CS-0065–CS-0070</t>
        </is>
      </c>
      <c r="J68" s="16" t="inlineStr">
        <is>
          <t>Partly executed – passed</t>
        </is>
      </c>
    </row>
    <row r="69">
      <c r="A69" s="15" t="inlineStr">
        <is>
          <t>BO-06</t>
        </is>
      </c>
      <c r="B69" s="16" t="inlineStr">
        <is>
          <t>Agent management</t>
        </is>
      </c>
      <c r="C69" s="16" t="inlineStr">
        <is>
          <t>Agent search</t>
        </is>
      </c>
      <c r="D69" s="16" t="inlineStr">
        <is>
          <t>TS-10</t>
        </is>
      </c>
      <c r="E69" s="21" t="n">
        <v>6</v>
      </c>
      <c r="F69" s="21" t="n">
        <v>5</v>
      </c>
      <c r="G69" s="21" t="n">
        <v>5</v>
      </c>
      <c r="H69" s="21" t="n">
        <v>0</v>
      </c>
      <c r="I69" s="16" t="inlineStr">
        <is>
          <t>CS-0065–CS-0070</t>
        </is>
      </c>
      <c r="J69" s="16" t="inlineStr">
        <is>
          <t>Partly executed – passed</t>
        </is>
      </c>
    </row>
    <row r="70">
      <c r="A70" s="15" t="inlineStr">
        <is>
          <t>BO-07</t>
        </is>
      </c>
      <c r="B70" s="16" t="inlineStr">
        <is>
          <t>Agent management</t>
        </is>
      </c>
      <c r="C70" s="16" t="inlineStr">
        <is>
          <t>Agent statuses</t>
        </is>
      </c>
      <c r="D70" s="16" t="inlineStr">
        <is>
          <t>TS-10</t>
        </is>
      </c>
      <c r="E70" s="21" t="n">
        <v>6</v>
      </c>
      <c r="F70" s="21" t="n">
        <v>5</v>
      </c>
      <c r="G70" s="21" t="n">
        <v>5</v>
      </c>
      <c r="H70" s="21" t="n">
        <v>0</v>
      </c>
      <c r="I70" s="16" t="inlineStr">
        <is>
          <t>CS-0065–CS-0070</t>
        </is>
      </c>
      <c r="J70" s="16" t="inlineStr">
        <is>
          <t>Partly executed – passed</t>
        </is>
      </c>
    </row>
    <row r="71">
      <c r="A71" s="15" t="inlineStr">
        <is>
          <t>BO-08</t>
        </is>
      </c>
      <c r="B71" s="16" t="inlineStr">
        <is>
          <t>Agent management</t>
        </is>
      </c>
      <c r="C71" s="16" t="inlineStr">
        <is>
          <t>Main/sub-agent management</t>
        </is>
      </c>
      <c r="D71" s="16" t="inlineStr">
        <is>
          <t>TS-09, TS-10</t>
        </is>
      </c>
      <c r="E71" s="21" t="n">
        <v>10</v>
      </c>
      <c r="F71" s="21" t="n">
        <v>9</v>
      </c>
      <c r="G71" s="21" t="n">
        <v>9</v>
      </c>
      <c r="H71" s="21" t="n">
        <v>0</v>
      </c>
      <c r="I71" s="16" t="inlineStr">
        <is>
          <t>CS-0061–CS-0070</t>
        </is>
      </c>
      <c r="J71" s="16" t="inlineStr">
        <is>
          <t>Partly executed – passed</t>
        </is>
      </c>
    </row>
    <row r="72">
      <c r="A72" s="15" t="inlineStr">
        <is>
          <t>BO-09</t>
        </is>
      </c>
      <c r="B72" s="16" t="inlineStr">
        <is>
          <t>Agency management</t>
        </is>
      </c>
      <c r="C72" s="16" t="inlineStr">
        <is>
          <t>Agency administration</t>
        </is>
      </c>
      <c r="D72" s="16" t="inlineStr">
        <is>
          <t>TS-10</t>
        </is>
      </c>
      <c r="E72" s="21" t="n">
        <v>6</v>
      </c>
      <c r="F72" s="21" t="n">
        <v>5</v>
      </c>
      <c r="G72" s="21" t="n">
        <v>5</v>
      </c>
      <c r="H72" s="21" t="n">
        <v>0</v>
      </c>
      <c r="I72" s="16" t="inlineStr">
        <is>
          <t>CS-0065–CS-0070</t>
        </is>
      </c>
      <c r="J72" s="16" t="inlineStr">
        <is>
          <t>Partly executed – passed</t>
        </is>
      </c>
    </row>
    <row r="73">
      <c r="A73" s="15" t="inlineStr">
        <is>
          <t>BO-10</t>
        </is>
      </c>
      <c r="B73" s="16" t="inlineStr">
        <is>
          <t>Agent management</t>
        </is>
      </c>
      <c r="C73" s="16" t="inlineStr">
        <is>
          <t>Agent approval (maker-checker)</t>
        </is>
      </c>
      <c r="D73" s="16" t="inlineStr">
        <is>
          <t>TS-08</t>
        </is>
      </c>
      <c r="E73" s="21" t="n">
        <v>8</v>
      </c>
      <c r="F73" s="21" t="n">
        <v>8</v>
      </c>
      <c r="G73" s="21" t="n">
        <v>8</v>
      </c>
      <c r="H73" s="21" t="n">
        <v>0</v>
      </c>
      <c r="I73" s="16" t="inlineStr">
        <is>
          <t>CS-0053–CS-0060</t>
        </is>
      </c>
      <c r="J73" s="16" t="inlineStr">
        <is>
          <t>Executed – passed</t>
        </is>
      </c>
    </row>
    <row r="74">
      <c r="A74" s="15" t="inlineStr">
        <is>
          <t>BO-11</t>
        </is>
      </c>
      <c r="B74" s="16" t="inlineStr">
        <is>
          <t>Document management</t>
        </is>
      </c>
      <c r="C74" s="16" t="inlineStr">
        <is>
          <t>Agent documents</t>
        </is>
      </c>
      <c r="D74" s="16" t="inlineStr">
        <is>
          <t>TS-08, TS-39</t>
        </is>
      </c>
      <c r="E74" s="21" t="n">
        <v>10</v>
      </c>
      <c r="F74" s="21" t="n">
        <v>9</v>
      </c>
      <c r="G74" s="21" t="n">
        <v>9</v>
      </c>
      <c r="H74" s="21" t="n">
        <v>0</v>
      </c>
      <c r="I74" s="16" t="inlineStr">
        <is>
          <t>CS-0053–CS-0060, CS-0229–CS-0230</t>
        </is>
      </c>
      <c r="J74" s="16" t="inlineStr">
        <is>
          <t>Partly executed – passed</t>
        </is>
      </c>
    </row>
    <row r="75">
      <c r="A75" s="15" t="inlineStr">
        <is>
          <t>BO-12</t>
        </is>
      </c>
      <c r="B75" s="16" t="inlineStr">
        <is>
          <t>Document management</t>
        </is>
      </c>
      <c r="C75" s="16" t="inlineStr">
        <is>
          <t>Document validation</t>
        </is>
      </c>
      <c r="D75" s="16" t="inlineStr">
        <is>
          <t>TS-39</t>
        </is>
      </c>
      <c r="E75" s="21" t="n">
        <v>2</v>
      </c>
      <c r="F75" s="21" t="n">
        <v>1</v>
      </c>
      <c r="G75" s="21" t="n">
        <v>1</v>
      </c>
      <c r="H75" s="21" t="n">
        <v>0</v>
      </c>
      <c r="I75" s="16" t="inlineStr">
        <is>
          <t>CS-0229–CS-0230</t>
        </is>
      </c>
      <c r="J75" s="16" t="inlineStr">
        <is>
          <t>Partly executed – passed</t>
        </is>
      </c>
    </row>
    <row r="76">
      <c r="A76" s="15" t="inlineStr">
        <is>
          <t>BO-13</t>
        </is>
      </c>
      <c r="B76" s="16" t="inlineStr">
        <is>
          <t>AML/KYC</t>
        </is>
      </c>
      <c r="C76" s="16" t="inlineStr">
        <is>
          <t>AML screening</t>
        </is>
      </c>
      <c r="D76" s="16" t="inlineStr">
        <is>
          <t>TS-13, TS-14</t>
        </is>
      </c>
      <c r="E76" s="21" t="n">
        <v>14</v>
      </c>
      <c r="F76" s="21" t="n">
        <v>14</v>
      </c>
      <c r="G76" s="21" t="n">
        <v>14</v>
      </c>
      <c r="H76" s="21" t="n">
        <v>0</v>
      </c>
      <c r="I76" s="16" t="inlineStr">
        <is>
          <t>CS-0082–CS-0095</t>
        </is>
      </c>
      <c r="J76" s="16" t="inlineStr">
        <is>
          <t>Executed – passed</t>
        </is>
      </c>
    </row>
    <row r="77">
      <c r="A77" s="15" t="inlineStr">
        <is>
          <t>BO-14</t>
        </is>
      </c>
      <c r="B77" s="16" t="inlineStr">
        <is>
          <t>AML/KYC</t>
        </is>
      </c>
      <c r="C77" s="16" t="inlineStr">
        <is>
          <t>AML status recording</t>
        </is>
      </c>
      <c r="D77" s="16" t="inlineStr">
        <is>
          <t>TS-13</t>
        </is>
      </c>
      <c r="E77" s="21" t="n">
        <v>11</v>
      </c>
      <c r="F77" s="21" t="n">
        <v>11</v>
      </c>
      <c r="G77" s="21" t="n">
        <v>11</v>
      </c>
      <c r="H77" s="21" t="n">
        <v>0</v>
      </c>
      <c r="I77" s="16" t="inlineStr">
        <is>
          <t>CS-0082–CS-0092</t>
        </is>
      </c>
      <c r="J77" s="16" t="inlineStr">
        <is>
          <t>Executed – passed</t>
        </is>
      </c>
    </row>
    <row r="78">
      <c r="A78" s="15" t="inlineStr">
        <is>
          <t>BO-15</t>
        </is>
      </c>
      <c r="B78" s="16" t="inlineStr">
        <is>
          <t>AML/KYC</t>
        </is>
      </c>
      <c r="C78" s="16" t="inlineStr">
        <is>
          <t>Compliance review</t>
        </is>
      </c>
      <c r="D78" s="16" t="inlineStr">
        <is>
          <t>TS-13</t>
        </is>
      </c>
      <c r="E78" s="21" t="n">
        <v>11</v>
      </c>
      <c r="F78" s="21" t="n">
        <v>11</v>
      </c>
      <c r="G78" s="21" t="n">
        <v>11</v>
      </c>
      <c r="H78" s="21" t="n">
        <v>0</v>
      </c>
      <c r="I78" s="16" t="inlineStr">
        <is>
          <t>CS-0082–CS-0092</t>
        </is>
      </c>
      <c r="J78" s="16" t="inlineStr">
        <is>
          <t>Executed – passed</t>
        </is>
      </c>
    </row>
    <row r="79">
      <c r="A79" s="15" t="inlineStr">
        <is>
          <t>BO-16</t>
        </is>
      </c>
      <c r="B79" s="16" t="inlineStr">
        <is>
          <t>Workflow</t>
        </is>
      </c>
      <c r="C79" s="16" t="inlineStr">
        <is>
          <t>Configurable approval workflow</t>
        </is>
      </c>
      <c r="D79" s="16" t="inlineStr">
        <is>
          <t>TS-25, TS-35, TS-50</t>
        </is>
      </c>
      <c r="E79" s="21" t="n">
        <v>14</v>
      </c>
      <c r="F79" s="21" t="n">
        <v>13</v>
      </c>
      <c r="G79" s="21" t="n">
        <v>13</v>
      </c>
      <c r="H79" s="21" t="n">
        <v>0</v>
      </c>
      <c r="I79" s="16" t="inlineStr">
        <is>
          <t>CS-0163–CS-0171, CS-0206–CS-0208, CS-0275–CS-0276</t>
        </is>
      </c>
      <c r="J79" s="16" t="inlineStr">
        <is>
          <t>Partly executed – passed</t>
        </is>
      </c>
    </row>
    <row r="80">
      <c r="A80" s="15" t="inlineStr">
        <is>
          <t>BO-17</t>
        </is>
      </c>
      <c r="B80" s="16" t="inlineStr">
        <is>
          <t>Workflow</t>
        </is>
      </c>
      <c r="C80" s="16" t="inlineStr">
        <is>
          <t>Maker-checker segregation</t>
        </is>
      </c>
      <c r="D80" s="16" t="inlineStr">
        <is>
          <t>TS-25</t>
        </is>
      </c>
      <c r="E80" s="21" t="n">
        <v>9</v>
      </c>
      <c r="F80" s="21" t="n">
        <v>8</v>
      </c>
      <c r="G80" s="21" t="n">
        <v>8</v>
      </c>
      <c r="H80" s="21" t="n">
        <v>0</v>
      </c>
      <c r="I80" s="16" t="inlineStr">
        <is>
          <t>CS-0163–CS-0171</t>
        </is>
      </c>
      <c r="J80" s="16" t="inlineStr">
        <is>
          <t>Partly executed – passed</t>
        </is>
      </c>
    </row>
    <row r="81">
      <c r="A81" s="15" t="inlineStr">
        <is>
          <t>BO-18</t>
        </is>
      </c>
      <c r="B81" s="16" t="inlineStr">
        <is>
          <t>Workflow</t>
        </is>
      </c>
      <c r="C81" s="16" t="inlineStr">
        <is>
          <t>Workflow status tracking</t>
        </is>
      </c>
      <c r="D81" s="16" t="inlineStr">
        <is>
          <t>TS-25</t>
        </is>
      </c>
      <c r="E81" s="21" t="n">
        <v>9</v>
      </c>
      <c r="F81" s="21" t="n">
        <v>8</v>
      </c>
      <c r="G81" s="21" t="n">
        <v>8</v>
      </c>
      <c r="H81" s="21" t="n">
        <v>0</v>
      </c>
      <c r="I81" s="16" t="inlineStr">
        <is>
          <t>CS-0163–CS-0171</t>
        </is>
      </c>
      <c r="J81" s="16" t="inlineStr">
        <is>
          <t>Partly executed – passed</t>
        </is>
      </c>
    </row>
    <row r="82">
      <c r="A82" s="15" t="inlineStr">
        <is>
          <t>BO-19</t>
        </is>
      </c>
      <c r="B82" s="16" t="inlineStr">
        <is>
          <t>Workflow</t>
        </is>
      </c>
      <c r="C82" s="16" t="inlineStr">
        <is>
          <t>Rejection with mandatory remarks</t>
        </is>
      </c>
      <c r="D82" s="16" t="inlineStr">
        <is>
          <t>TS-25, TS-26, TS-36</t>
        </is>
      </c>
      <c r="E82" s="21" t="n">
        <v>13</v>
      </c>
      <c r="F82" s="21" t="n">
        <v>11</v>
      </c>
      <c r="G82" s="21" t="n">
        <v>11</v>
      </c>
      <c r="H82" s="21" t="n">
        <v>0</v>
      </c>
      <c r="I82" s="16" t="inlineStr">
        <is>
          <t>CS-0163–CS-0172, CS-0209–CS-0211</t>
        </is>
      </c>
      <c r="J82" s="16" t="inlineStr">
        <is>
          <t>Partly executed – passed</t>
        </is>
      </c>
    </row>
    <row r="83">
      <c r="A83" s="15" t="inlineStr">
        <is>
          <t>BO-20</t>
        </is>
      </c>
      <c r="B83" s="16" t="inlineStr">
        <is>
          <t>Dashboard</t>
        </is>
      </c>
      <c r="C83" s="16" t="inlineStr">
        <is>
          <t>Management dashboard</t>
        </is>
      </c>
      <c r="D83" s="16" t="inlineStr">
        <is>
          <t>TS-40</t>
        </is>
      </c>
      <c r="E83" s="21" t="n">
        <v>5</v>
      </c>
      <c r="F83" s="21" t="n">
        <v>5</v>
      </c>
      <c r="G83" s="21" t="n">
        <v>5</v>
      </c>
      <c r="H83" s="21" t="n">
        <v>0</v>
      </c>
      <c r="I83" s="16" t="inlineStr">
        <is>
          <t>CS-0231–CS-0235</t>
        </is>
      </c>
      <c r="J83" s="16" t="inlineStr">
        <is>
          <t>Executed – passed</t>
        </is>
      </c>
    </row>
    <row r="84">
      <c r="A84" s="15" t="inlineStr">
        <is>
          <t>BO-21</t>
        </is>
      </c>
      <c r="B84" s="16" t="inlineStr">
        <is>
          <t>Dashboard</t>
        </is>
      </c>
      <c r="C84" s="16" t="inlineStr">
        <is>
          <t>Pending action dashboard</t>
        </is>
      </c>
      <c r="D84" s="16" t="inlineStr">
        <is>
          <t>TS-40</t>
        </is>
      </c>
      <c r="E84" s="21" t="n">
        <v>5</v>
      </c>
      <c r="F84" s="21" t="n">
        <v>5</v>
      </c>
      <c r="G84" s="21" t="n">
        <v>5</v>
      </c>
      <c r="H84" s="21" t="n">
        <v>0</v>
      </c>
      <c r="I84" s="16" t="inlineStr">
        <is>
          <t>CS-0231–CS-0235</t>
        </is>
      </c>
      <c r="J84" s="16" t="inlineStr">
        <is>
          <t>Executed – passed</t>
        </is>
      </c>
    </row>
    <row r="85">
      <c r="A85" s="15" t="inlineStr">
        <is>
          <t>BO-22</t>
        </is>
      </c>
      <c r="B85" s="16" t="inlineStr">
        <is>
          <t>Reporting</t>
        </is>
      </c>
      <c r="C85" s="16" t="inlineStr">
        <is>
          <t>Standard reports</t>
        </is>
      </c>
      <c r="D85" s="16" t="inlineStr">
        <is>
          <t>TS-43</t>
        </is>
      </c>
      <c r="E85" s="21" t="n">
        <v>9</v>
      </c>
      <c r="F85" s="21" t="n">
        <v>9</v>
      </c>
      <c r="G85" s="21" t="n">
        <v>9</v>
      </c>
      <c r="H85" s="21" t="n">
        <v>0</v>
      </c>
      <c r="I85" s="16" t="inlineStr">
        <is>
          <t>CS-0248–CS-0256</t>
        </is>
      </c>
      <c r="J85" s="16" t="inlineStr">
        <is>
          <t>Executed – passed</t>
        </is>
      </c>
    </row>
    <row r="86">
      <c r="A86" s="15" t="inlineStr">
        <is>
          <t>BO-23</t>
        </is>
      </c>
      <c r="B86" s="16" t="inlineStr">
        <is>
          <t>Reporting</t>
        </is>
      </c>
      <c r="C86" s="16" t="inlineStr">
        <is>
          <t>Report filtering</t>
        </is>
      </c>
      <c r="D86" s="16" t="inlineStr">
        <is>
          <t>TS-43</t>
        </is>
      </c>
      <c r="E86" s="21" t="n">
        <v>9</v>
      </c>
      <c r="F86" s="21" t="n">
        <v>9</v>
      </c>
      <c r="G86" s="21" t="n">
        <v>9</v>
      </c>
      <c r="H86" s="21" t="n">
        <v>0</v>
      </c>
      <c r="I86" s="16" t="inlineStr">
        <is>
          <t>CS-0248–CS-0256</t>
        </is>
      </c>
      <c r="J86" s="16" t="inlineStr">
        <is>
          <t>Executed – passed</t>
        </is>
      </c>
    </row>
    <row r="87">
      <c r="A87" s="15" t="inlineStr">
        <is>
          <t>BO-24</t>
        </is>
      </c>
      <c r="B87" s="16" t="inlineStr">
        <is>
          <t>Reporting</t>
        </is>
      </c>
      <c r="C87" s="16" t="inlineStr">
        <is>
          <t>Report export</t>
        </is>
      </c>
      <c r="D87" s="16" t="inlineStr">
        <is>
          <t>TS-43</t>
        </is>
      </c>
      <c r="E87" s="21" t="n">
        <v>9</v>
      </c>
      <c r="F87" s="21" t="n">
        <v>9</v>
      </c>
      <c r="G87" s="21" t="n">
        <v>9</v>
      </c>
      <c r="H87" s="21" t="n">
        <v>0</v>
      </c>
      <c r="I87" s="16" t="inlineStr">
        <is>
          <t>CS-0248–CS-0256</t>
        </is>
      </c>
      <c r="J87" s="16" t="inlineStr">
        <is>
          <t>Executed – passed</t>
        </is>
      </c>
    </row>
    <row r="88">
      <c r="A88" s="15" t="inlineStr">
        <is>
          <t>BO-25</t>
        </is>
      </c>
      <c r="B88" s="16" t="inlineStr">
        <is>
          <t>Reporting</t>
        </is>
      </c>
      <c r="C88" s="16" t="inlineStr">
        <is>
          <t>Scheduled reports</t>
        </is>
      </c>
      <c r="D88" s="16" t="inlineStr">
        <is>
          <t>TS-45</t>
        </is>
      </c>
      <c r="E88" s="21" t="n">
        <v>2</v>
      </c>
      <c r="F88" s="21" t="n">
        <v>2</v>
      </c>
      <c r="G88" s="21" t="n">
        <v>2</v>
      </c>
      <c r="H88" s="21" t="n">
        <v>0</v>
      </c>
      <c r="I88" s="16" t="inlineStr">
        <is>
          <t>CS-0259–CS-0260</t>
        </is>
      </c>
      <c r="J88" s="16" t="inlineStr">
        <is>
          <t>Executed – passed</t>
        </is>
      </c>
    </row>
    <row r="89">
      <c r="A89" s="15" t="inlineStr">
        <is>
          <t>BO-26</t>
        </is>
      </c>
      <c r="B89" s="16" t="inlineStr">
        <is>
          <t>Audit</t>
        </is>
      </c>
      <c r="C89" s="16" t="inlineStr">
        <is>
          <t>Audit trail</t>
        </is>
      </c>
      <c r="D89" s="16" t="inlineStr">
        <is>
          <t>TS-46</t>
        </is>
      </c>
      <c r="E89" s="21" t="n">
        <v>3</v>
      </c>
      <c r="F89" s="21" t="n">
        <v>3</v>
      </c>
      <c r="G89" s="21" t="n">
        <v>3</v>
      </c>
      <c r="H89" s="21" t="n">
        <v>0</v>
      </c>
      <c r="I89" s="16" t="inlineStr">
        <is>
          <t>CS-0261–CS-0263</t>
        </is>
      </c>
      <c r="J89" s="16" t="inlineStr">
        <is>
          <t>Executed – passed</t>
        </is>
      </c>
    </row>
    <row r="90">
      <c r="A90" s="15" t="inlineStr">
        <is>
          <t>BO-27</t>
        </is>
      </c>
      <c r="B90" s="16" t="inlineStr">
        <is>
          <t>Audit</t>
        </is>
      </c>
      <c r="C90" s="16" t="inlineStr">
        <is>
          <t>Change history (before/after)</t>
        </is>
      </c>
      <c r="D90" s="16" t="inlineStr">
        <is>
          <t>TS-46</t>
        </is>
      </c>
      <c r="E90" s="21" t="n">
        <v>3</v>
      </c>
      <c r="F90" s="21" t="n">
        <v>3</v>
      </c>
      <c r="G90" s="21" t="n">
        <v>3</v>
      </c>
      <c r="H90" s="21" t="n">
        <v>0</v>
      </c>
      <c r="I90" s="16" t="inlineStr">
        <is>
          <t>CS-0261–CS-0263</t>
        </is>
      </c>
      <c r="J90" s="16" t="inlineStr">
        <is>
          <t>Executed – passed</t>
        </is>
      </c>
    </row>
    <row r="91">
      <c r="A91" s="15" t="inlineStr">
        <is>
          <t>BO-28</t>
        </is>
      </c>
      <c r="B91" s="16" t="inlineStr">
        <is>
          <t>Audit</t>
        </is>
      </c>
      <c r="C91" s="16" t="inlineStr">
        <is>
          <t>Audit search</t>
        </is>
      </c>
      <c r="D91" s="16" t="inlineStr">
        <is>
          <t>TS-46</t>
        </is>
      </c>
      <c r="E91" s="21" t="n">
        <v>3</v>
      </c>
      <c r="F91" s="21" t="n">
        <v>3</v>
      </c>
      <c r="G91" s="21" t="n">
        <v>3</v>
      </c>
      <c r="H91" s="21" t="n">
        <v>0</v>
      </c>
      <c r="I91" s="16" t="inlineStr">
        <is>
          <t>CS-0261–CS-0263</t>
        </is>
      </c>
      <c r="J91" s="16" t="inlineStr">
        <is>
          <t>Executed – passed</t>
        </is>
      </c>
    </row>
    <row r="92">
      <c r="A92" s="15" t="inlineStr">
        <is>
          <t>BO-29</t>
        </is>
      </c>
      <c r="B92" s="16" t="inlineStr">
        <is>
          <t>Issue management</t>
        </is>
      </c>
      <c r="C92" s="16" t="inlineStr">
        <is>
          <t>Issue assignment</t>
        </is>
      </c>
      <c r="D92" s="16" t="inlineStr">
        <is>
          <t>TS-42</t>
        </is>
      </c>
      <c r="E92" s="21" t="n">
        <v>9</v>
      </c>
      <c r="F92" s="21" t="n">
        <v>8</v>
      </c>
      <c r="G92" s="21" t="n">
        <v>8</v>
      </c>
      <c r="H92" s="21" t="n">
        <v>0</v>
      </c>
      <c r="I92" s="16" t="inlineStr">
        <is>
          <t>CS-0239–CS-0247</t>
        </is>
      </c>
      <c r="J92" s="16" t="inlineStr">
        <is>
          <t>Partly executed – passed</t>
        </is>
      </c>
    </row>
    <row r="93">
      <c r="A93" s="15" t="inlineStr">
        <is>
          <t>BO-30</t>
        </is>
      </c>
      <c r="B93" s="16" t="inlineStr">
        <is>
          <t>Issue management</t>
        </is>
      </c>
      <c r="C93" s="16" t="inlineStr">
        <is>
          <t>Issue priority</t>
        </is>
      </c>
      <c r="D93" s="16" t="inlineStr">
        <is>
          <t>TS-42</t>
        </is>
      </c>
      <c r="E93" s="21" t="n">
        <v>9</v>
      </c>
      <c r="F93" s="21" t="n">
        <v>8</v>
      </c>
      <c r="G93" s="21" t="n">
        <v>8</v>
      </c>
      <c r="H93" s="21" t="n">
        <v>0</v>
      </c>
      <c r="I93" s="16" t="inlineStr">
        <is>
          <t>CS-0239–CS-0247</t>
        </is>
      </c>
      <c r="J93" s="16" t="inlineStr">
        <is>
          <t>Partly executed – passed</t>
        </is>
      </c>
    </row>
    <row r="94">
      <c r="A94" s="15" t="inlineStr">
        <is>
          <t>BO-31</t>
        </is>
      </c>
      <c r="B94" s="16" t="inlineStr">
        <is>
          <t>Issue management</t>
        </is>
      </c>
      <c r="C94" s="16" t="inlineStr">
        <is>
          <t>Issue SLA monitoring</t>
        </is>
      </c>
      <c r="D94" s="16" t="inlineStr">
        <is>
          <t>TS-42</t>
        </is>
      </c>
      <c r="E94" s="21" t="n">
        <v>9</v>
      </c>
      <c r="F94" s="21" t="n">
        <v>8</v>
      </c>
      <c r="G94" s="21" t="n">
        <v>8</v>
      </c>
      <c r="H94" s="21" t="n">
        <v>0</v>
      </c>
      <c r="I94" s="16" t="inlineStr">
        <is>
          <t>CS-0239–CS-0247</t>
        </is>
      </c>
      <c r="J94" s="16" t="inlineStr">
        <is>
          <t>Partly executed – passed</t>
        </is>
      </c>
    </row>
    <row r="95">
      <c r="A95" s="15" t="inlineStr">
        <is>
          <t>BO-32</t>
        </is>
      </c>
      <c r="B95" s="16" t="inlineStr">
        <is>
          <t>Administration</t>
        </is>
      </c>
      <c r="C95" s="16" t="inlineStr">
        <is>
          <t>Master data management</t>
        </is>
      </c>
      <c r="D95" s="16" t="inlineStr">
        <is>
          <t>TS-14, TS-49</t>
        </is>
      </c>
      <c r="E95" s="21" t="n">
        <v>7</v>
      </c>
      <c r="F95" s="21" t="n">
        <v>7</v>
      </c>
      <c r="G95" s="21" t="n">
        <v>7</v>
      </c>
      <c r="H95" s="21" t="n">
        <v>0</v>
      </c>
      <c r="I95" s="16" t="inlineStr">
        <is>
          <t>CS-0093–CS-0095, CS-0271–CS-0274</t>
        </is>
      </c>
      <c r="J95" s="16" t="inlineStr">
        <is>
          <t>Executed – passed</t>
        </is>
      </c>
    </row>
    <row r="96">
      <c r="A96" s="15" t="inlineStr">
        <is>
          <t>BO-33</t>
        </is>
      </c>
      <c r="B96" s="16" t="inlineStr">
        <is>
          <t>Administration</t>
        </is>
      </c>
      <c r="C96" s="16" t="inlineStr">
        <is>
          <t>System configuration</t>
        </is>
      </c>
      <c r="D96" s="16" t="inlineStr">
        <is>
          <t>TS-20, TS-49</t>
        </is>
      </c>
      <c r="E96" s="21" t="n">
        <v>12</v>
      </c>
      <c r="F96" s="21" t="n">
        <v>12</v>
      </c>
      <c r="G96" s="21" t="n">
        <v>12</v>
      </c>
      <c r="H96" s="21" t="n">
        <v>0</v>
      </c>
      <c r="I96" s="16" t="inlineStr">
        <is>
          <t>CS-0124–CS-0131, CS-0271–CS-0274</t>
        </is>
      </c>
      <c r="J96" s="16" t="inlineStr">
        <is>
          <t>Executed – passed</t>
        </is>
      </c>
    </row>
    <row r="97">
      <c r="A97" s="15" t="inlineStr">
        <is>
          <t>INT-01</t>
        </is>
      </c>
      <c r="B97" s="16" t="inlineStr">
        <is>
          <t>Core system</t>
        </is>
      </c>
      <c r="C97" s="16" t="inlineStr">
        <is>
          <t>Core system integration</t>
        </is>
      </c>
      <c r="D97" s="16" t="inlineStr">
        <is>
          <t>TS-51</t>
        </is>
      </c>
      <c r="E97" s="21" t="n">
        <v>5</v>
      </c>
      <c r="F97" s="21" t="n">
        <v>4</v>
      </c>
      <c r="G97" s="21" t="n">
        <v>4</v>
      </c>
      <c r="H97" s="21" t="n">
        <v>0</v>
      </c>
      <c r="I97" s="16" t="inlineStr">
        <is>
          <t>CS-0277–CS-0281</t>
        </is>
      </c>
      <c r="J97" s="16" t="inlineStr">
        <is>
          <t>Partly executed – passed</t>
        </is>
      </c>
    </row>
    <row r="98">
      <c r="A98" s="15" t="inlineStr">
        <is>
          <t>INT-02</t>
        </is>
      </c>
      <c r="B98" s="16" t="inlineStr">
        <is>
          <t>Core system</t>
        </is>
      </c>
      <c r="C98" s="16" t="inlineStr">
        <is>
          <t>Agent/banca master data synchronisation</t>
        </is>
      </c>
      <c r="D98" s="16" t="inlineStr">
        <is>
          <t>TS-51</t>
        </is>
      </c>
      <c r="E98" s="21" t="n">
        <v>5</v>
      </c>
      <c r="F98" s="21" t="n">
        <v>4</v>
      </c>
      <c r="G98" s="21" t="n">
        <v>4</v>
      </c>
      <c r="H98" s="21" t="n">
        <v>0</v>
      </c>
      <c r="I98" s="16" t="inlineStr">
        <is>
          <t>CS-0277–CS-0281</t>
        </is>
      </c>
      <c r="J98" s="16" t="inlineStr">
        <is>
          <t>Partly executed – passed</t>
        </is>
      </c>
    </row>
    <row r="99">
      <c r="A99" s="15" t="inlineStr">
        <is>
          <t>INT-03</t>
        </is>
      </c>
      <c r="B99" s="16" t="inlineStr">
        <is>
          <t>Core system</t>
        </is>
      </c>
      <c r="C99" s="16" t="inlineStr">
        <is>
          <t>Agent information exchange</t>
        </is>
      </c>
      <c r="D99" s="16" t="inlineStr">
        <is>
          <t>TS-51</t>
        </is>
      </c>
      <c r="E99" s="21" t="n">
        <v>5</v>
      </c>
      <c r="F99" s="21" t="n">
        <v>4</v>
      </c>
      <c r="G99" s="21" t="n">
        <v>4</v>
      </c>
      <c r="H99" s="21" t="n">
        <v>0</v>
      </c>
      <c r="I99" s="16" t="inlineStr">
        <is>
          <t>CS-0277–CS-0281</t>
        </is>
      </c>
      <c r="J99" s="16" t="inlineStr">
        <is>
          <t>Partly executed – passed</t>
        </is>
      </c>
    </row>
    <row r="100">
      <c r="A100" s="15" t="inlineStr">
        <is>
          <t>INT-04</t>
        </is>
      </c>
      <c r="B100" s="16" t="inlineStr">
        <is>
          <t>Financial system</t>
        </is>
      </c>
      <c r="C100" s="16" t="inlineStr">
        <is>
          <t>Financial system integration</t>
        </is>
      </c>
      <c r="D100" s="16" t="inlineStr">
        <is>
          <t>TS-33, TS-52</t>
        </is>
      </c>
      <c r="E100" s="21" t="n">
        <v>9</v>
      </c>
      <c r="F100" s="21" t="n">
        <v>8</v>
      </c>
      <c r="G100" s="21" t="n">
        <v>8</v>
      </c>
      <c r="H100" s="21" t="n">
        <v>0</v>
      </c>
      <c r="I100" s="16" t="inlineStr">
        <is>
          <t>CS-0201, CS-0282–CS-0289</t>
        </is>
      </c>
      <c r="J100" s="16" t="inlineStr">
        <is>
          <t>Partly executed – passed</t>
        </is>
      </c>
    </row>
    <row r="101">
      <c r="A101" s="15" t="inlineStr">
        <is>
          <t>INT-05</t>
        </is>
      </c>
      <c r="B101" s="16" t="inlineStr">
        <is>
          <t>Financial system</t>
        </is>
      </c>
      <c r="C101" s="16" t="inlineStr">
        <is>
          <t>Commission / referral fee information</t>
        </is>
      </c>
      <c r="D101" s="16" t="inlineStr">
        <is>
          <t>TS-33, TS-52</t>
        </is>
      </c>
      <c r="E101" s="21" t="n">
        <v>9</v>
      </c>
      <c r="F101" s="21" t="n">
        <v>8</v>
      </c>
      <c r="G101" s="21" t="n">
        <v>8</v>
      </c>
      <c r="H101" s="21" t="n">
        <v>0</v>
      </c>
      <c r="I101" s="16" t="inlineStr">
        <is>
          <t>CS-0201, CS-0282–CS-0289</t>
        </is>
      </c>
      <c r="J101" s="16" t="inlineStr">
        <is>
          <t>Partly executed – passed</t>
        </is>
      </c>
    </row>
    <row r="102">
      <c r="A102" s="15" t="inlineStr">
        <is>
          <t>INT-06</t>
        </is>
      </c>
      <c r="B102" s="16" t="inlineStr">
        <is>
          <t>Identity</t>
        </is>
      </c>
      <c r="C102" s="16" t="inlineStr">
        <is>
          <t>Enterprise authentication (SSO/LDAP/AD)</t>
        </is>
      </c>
      <c r="D102" s="16" t="inlineStr">
        <is>
          <t>TS-05, TS-54</t>
        </is>
      </c>
      <c r="E102" s="21" t="n">
        <v>6</v>
      </c>
      <c r="F102" s="21" t="n">
        <v>1</v>
      </c>
      <c r="G102" s="21" t="n">
        <v>1</v>
      </c>
      <c r="H102" s="21" t="n">
        <v>0</v>
      </c>
      <c r="I102" s="16" t="inlineStr">
        <is>
          <t>CS-0035–CS-0037, CS-0293–CS-0295</t>
        </is>
      </c>
      <c r="J102" s="16" t="inlineStr">
        <is>
          <t>Partly executed – passed</t>
        </is>
      </c>
    </row>
    <row r="103">
      <c r="A103" s="15" t="inlineStr">
        <is>
          <t>INT-07</t>
        </is>
      </c>
      <c r="B103" s="16" t="inlineStr">
        <is>
          <t>Notification</t>
        </is>
      </c>
      <c r="C103" s="16" t="inlineStr">
        <is>
          <t>E-mail integration</t>
        </is>
      </c>
      <c r="D103" s="16" t="inlineStr">
        <is>
          <t>TS-41, TS-54</t>
        </is>
      </c>
      <c r="E103" s="21" t="n">
        <v>6</v>
      </c>
      <c r="F103" s="21" t="n">
        <v>2</v>
      </c>
      <c r="G103" s="21" t="n">
        <v>2</v>
      </c>
      <c r="H103" s="21" t="n">
        <v>0</v>
      </c>
      <c r="I103" s="16" t="inlineStr">
        <is>
          <t>CS-0236–CS-0238, CS-0293–CS-0295</t>
        </is>
      </c>
      <c r="J103" s="16" t="inlineStr">
        <is>
          <t>Partly executed – passed</t>
        </is>
      </c>
    </row>
    <row r="104">
      <c r="A104" s="15" t="inlineStr">
        <is>
          <t>INT-08</t>
        </is>
      </c>
      <c r="B104" s="16" t="inlineStr">
        <is>
          <t>Notification</t>
        </is>
      </c>
      <c r="C104" s="16" t="inlineStr">
        <is>
          <t>SMS integration</t>
        </is>
      </c>
      <c r="D104" s="16" t="inlineStr">
        <is>
          <t>TS-41, TS-54</t>
        </is>
      </c>
      <c r="E104" s="21" t="n">
        <v>6</v>
      </c>
      <c r="F104" s="21" t="n">
        <v>2</v>
      </c>
      <c r="G104" s="21" t="n">
        <v>2</v>
      </c>
      <c r="H104" s="21" t="n">
        <v>0</v>
      </c>
      <c r="I104" s="16" t="inlineStr">
        <is>
          <t>CS-0236–CS-0238, CS-0293–CS-0295</t>
        </is>
      </c>
      <c r="J104" s="16" t="inlineStr">
        <is>
          <t>Partly executed – passed</t>
        </is>
      </c>
    </row>
    <row r="105">
      <c r="A105" s="15" t="inlineStr">
        <is>
          <t>INT-09</t>
        </is>
      </c>
      <c r="B105" s="16" t="inlineStr">
        <is>
          <t>API</t>
        </is>
      </c>
      <c r="C105" s="16" t="inlineStr">
        <is>
          <t>API gateway / API services</t>
        </is>
      </c>
      <c r="D105" s="16" t="inlineStr">
        <is>
          <t>TS-51</t>
        </is>
      </c>
      <c r="E105" s="21" t="n">
        <v>5</v>
      </c>
      <c r="F105" s="21" t="n">
        <v>4</v>
      </c>
      <c r="G105" s="21" t="n">
        <v>4</v>
      </c>
      <c r="H105" s="21" t="n">
        <v>0</v>
      </c>
      <c r="I105" s="16" t="inlineStr">
        <is>
          <t>CS-0277–CS-0281</t>
        </is>
      </c>
      <c r="J105" s="16" t="inlineStr">
        <is>
          <t>Partly executed – passed</t>
        </is>
      </c>
    </row>
    <row r="106">
      <c r="A106" s="15" t="inlineStr">
        <is>
          <t>INT-10</t>
        </is>
      </c>
      <c r="B106" s="16" t="inlineStr">
        <is>
          <t>API</t>
        </is>
      </c>
      <c r="C106" s="16" t="inlineStr">
        <is>
          <t>API security</t>
        </is>
      </c>
      <c r="D106" s="16" t="inlineStr">
        <is>
          <t>TS-51</t>
        </is>
      </c>
      <c r="E106" s="21" t="n">
        <v>5</v>
      </c>
      <c r="F106" s="21" t="n">
        <v>4</v>
      </c>
      <c r="G106" s="21" t="n">
        <v>4</v>
      </c>
      <c r="H106" s="21" t="n">
        <v>0</v>
      </c>
      <c r="I106" s="16" t="inlineStr">
        <is>
          <t>CS-0277–CS-0281</t>
        </is>
      </c>
      <c r="J106" s="16" t="inlineStr">
        <is>
          <t>Partly executed – passed</t>
        </is>
      </c>
    </row>
    <row r="107">
      <c r="A107" s="15" t="inlineStr">
        <is>
          <t>INT-11</t>
        </is>
      </c>
      <c r="B107" s="16" t="inlineStr">
        <is>
          <t>API</t>
        </is>
      </c>
      <c r="C107" s="16" t="inlineStr">
        <is>
          <t>API monitoring</t>
        </is>
      </c>
      <c r="D107" s="16" t="inlineStr">
        <is>
          <t>TS-53</t>
        </is>
      </c>
      <c r="E107" s="21" t="n">
        <v>3</v>
      </c>
      <c r="F107" s="21" t="n">
        <v>2</v>
      </c>
      <c r="G107" s="21" t="n">
        <v>2</v>
      </c>
      <c r="H107" s="21" t="n">
        <v>0</v>
      </c>
      <c r="I107" s="16" t="inlineStr">
        <is>
          <t>CS-0290–CS-0292</t>
        </is>
      </c>
      <c r="J107" s="16" t="inlineStr">
        <is>
          <t>Partly executed – passed</t>
        </is>
      </c>
    </row>
    <row r="108">
      <c r="A108" s="15" t="inlineStr">
        <is>
          <t>INT-12</t>
        </is>
      </c>
      <c r="B108" s="16" t="inlineStr">
        <is>
          <t>Data</t>
        </is>
      </c>
      <c r="C108" s="16" t="inlineStr">
        <is>
          <t>Data validation</t>
        </is>
      </c>
      <c r="D108" s="16" t="inlineStr">
        <is>
          <t>TS-51</t>
        </is>
      </c>
      <c r="E108" s="21" t="n">
        <v>5</v>
      </c>
      <c r="F108" s="21" t="n">
        <v>4</v>
      </c>
      <c r="G108" s="21" t="n">
        <v>4</v>
      </c>
      <c r="H108" s="21" t="n">
        <v>0</v>
      </c>
      <c r="I108" s="16" t="inlineStr">
        <is>
          <t>CS-0277–CS-0281</t>
        </is>
      </c>
      <c r="J108" s="16" t="inlineStr">
        <is>
          <t>Partly executed – passed</t>
        </is>
      </c>
    </row>
    <row r="109">
      <c r="A109" s="15" t="inlineStr">
        <is>
          <t>INT-13</t>
        </is>
      </c>
      <c r="B109" s="16" t="inlineStr">
        <is>
          <t>Data</t>
        </is>
      </c>
      <c r="C109" s="16" t="inlineStr">
        <is>
          <t>Error handling and retry</t>
        </is>
      </c>
      <c r="D109" s="16" t="inlineStr">
        <is>
          <t>TS-53</t>
        </is>
      </c>
      <c r="E109" s="21" t="n">
        <v>3</v>
      </c>
      <c r="F109" s="21" t="n">
        <v>2</v>
      </c>
      <c r="G109" s="21" t="n">
        <v>2</v>
      </c>
      <c r="H109" s="21" t="n">
        <v>0</v>
      </c>
      <c r="I109" s="16" t="inlineStr">
        <is>
          <t>CS-0290–CS-0292</t>
        </is>
      </c>
      <c r="J109" s="16" t="inlineStr">
        <is>
          <t>Partly executed – passed</t>
        </is>
      </c>
    </row>
    <row r="110">
      <c r="A110" s="15" t="inlineStr">
        <is>
          <t>INT-14</t>
        </is>
      </c>
      <c r="B110" s="16" t="inlineStr">
        <is>
          <t>Data</t>
        </is>
      </c>
      <c r="C110" s="16" t="inlineStr">
        <is>
          <t>Integration logging</t>
        </is>
      </c>
      <c r="D110" s="16" t="inlineStr">
        <is>
          <t>TS-52, TS-53</t>
        </is>
      </c>
      <c r="E110" s="21" t="n">
        <v>11</v>
      </c>
      <c r="F110" s="21" t="n">
        <v>9</v>
      </c>
      <c r="G110" s="21" t="n">
        <v>9</v>
      </c>
      <c r="H110" s="21" t="n">
        <v>0</v>
      </c>
      <c r="I110" s="16" t="inlineStr">
        <is>
          <t>CS-0282–CS-0292</t>
        </is>
      </c>
      <c r="J110" s="16" t="inlineStr">
        <is>
          <t>Partly executed – passed</t>
        </is>
      </c>
    </row>
    <row r="111">
      <c r="A111" s="15" t="inlineStr">
        <is>
          <t>INT-15</t>
        </is>
      </c>
      <c r="B111" s="16" t="inlineStr">
        <is>
          <t>Data</t>
        </is>
      </c>
      <c r="C111" s="16" t="inlineStr">
        <is>
          <t>Data reconciliation</t>
        </is>
      </c>
      <c r="D111" s="16" t="inlineStr">
        <is>
          <t>TS-52</t>
        </is>
      </c>
      <c r="E111" s="21" t="n">
        <v>8</v>
      </c>
      <c r="F111" s="21" t="n">
        <v>7</v>
      </c>
      <c r="G111" s="21" t="n">
        <v>7</v>
      </c>
      <c r="H111" s="21" t="n">
        <v>0</v>
      </c>
      <c r="I111" s="16" t="inlineStr">
        <is>
          <t>CS-0282–CS-0289</t>
        </is>
      </c>
      <c r="J111" s="16" t="inlineStr">
        <is>
          <t>Partly executed – passed</t>
        </is>
      </c>
    </row>
    <row r="112">
      <c r="A112" s="15" t="inlineStr">
        <is>
          <t>COM-01</t>
        </is>
      </c>
      <c r="B112" s="16" t="inlineStr">
        <is>
          <t>Security</t>
        </is>
      </c>
      <c r="C112" s="16" t="inlineStr">
        <is>
          <t>Sensitive data protection</t>
        </is>
      </c>
      <c r="D112" s="16" t="inlineStr">
        <is>
          <t>TS-12, TS-55</t>
        </is>
      </c>
      <c r="E112" s="21" t="n">
        <v>13</v>
      </c>
      <c r="F112" s="21" t="n">
        <v>12</v>
      </c>
      <c r="G112" s="21" t="n">
        <v>12</v>
      </c>
      <c r="H112" s="21" t="n">
        <v>0</v>
      </c>
      <c r="I112" s="16" t="inlineStr">
        <is>
          <t>CS-0077–CS-0081, CS-0296–CS-0303</t>
        </is>
      </c>
      <c r="J112" s="16" t="inlineStr">
        <is>
          <t>Partly executed – passed</t>
        </is>
      </c>
    </row>
    <row r="113">
      <c r="A113" s="15" t="inlineStr">
        <is>
          <t>COM-02</t>
        </is>
      </c>
      <c r="B113" s="16" t="inlineStr">
        <is>
          <t>Security</t>
        </is>
      </c>
      <c r="C113" s="16" t="inlineStr">
        <is>
          <t>Access control</t>
        </is>
      </c>
      <c r="D113" s="16" t="inlineStr">
        <is>
          <t>TS-06, TS-07</t>
        </is>
      </c>
      <c r="E113" s="21" t="n">
        <v>15</v>
      </c>
      <c r="F113" s="21" t="n">
        <v>15</v>
      </c>
      <c r="G113" s="21" t="n">
        <v>15</v>
      </c>
      <c r="H113" s="21" t="n">
        <v>0</v>
      </c>
      <c r="I113" s="16" t="inlineStr">
        <is>
          <t>CS-0038–CS-0052</t>
        </is>
      </c>
      <c r="J113" s="16" t="inlineStr">
        <is>
          <t>Executed – passed</t>
        </is>
      </c>
    </row>
    <row r="114">
      <c r="A114" s="15" t="inlineStr">
        <is>
          <t>COM-03</t>
        </is>
      </c>
      <c r="B114" s="16" t="inlineStr">
        <is>
          <t>Audit</t>
        </is>
      </c>
      <c r="C114" s="16" t="inlineStr">
        <is>
          <t>Comprehensive audit</t>
        </is>
      </c>
      <c r="D114" s="16" t="inlineStr">
        <is>
          <t>TS-46</t>
        </is>
      </c>
      <c r="E114" s="21" t="n">
        <v>3</v>
      </c>
      <c r="F114" s="21" t="n">
        <v>3</v>
      </c>
      <c r="G114" s="21" t="n">
        <v>3</v>
      </c>
      <c r="H114" s="21" t="n">
        <v>0</v>
      </c>
      <c r="I114" s="16" t="inlineStr">
        <is>
          <t>CS-0261–CS-0263</t>
        </is>
      </c>
      <c r="J114" s="16" t="inlineStr">
        <is>
          <t>Executed – passed</t>
        </is>
      </c>
    </row>
    <row r="115">
      <c r="A115" s="15" t="inlineStr">
        <is>
          <t>COM-04</t>
        </is>
      </c>
      <c r="B115" s="16" t="inlineStr">
        <is>
          <t>Workflow</t>
        </is>
      </c>
      <c r="C115" s="16" t="inlineStr">
        <is>
          <t>Configurable workflow</t>
        </is>
      </c>
      <c r="D115" s="16" t="inlineStr">
        <is>
          <t>TS-25, TS-50</t>
        </is>
      </c>
      <c r="E115" s="21" t="n">
        <v>11</v>
      </c>
      <c r="F115" s="21" t="n">
        <v>10</v>
      </c>
      <c r="G115" s="21" t="n">
        <v>10</v>
      </c>
      <c r="H115" s="21" t="n">
        <v>0</v>
      </c>
      <c r="I115" s="16" t="inlineStr">
        <is>
          <t>CS-0163–CS-0171, CS-0275–CS-0276</t>
        </is>
      </c>
      <c r="J115" s="16" t="inlineStr">
        <is>
          <t>Partly executed – passed</t>
        </is>
      </c>
    </row>
    <row r="116">
      <c r="A116" s="15" t="inlineStr">
        <is>
          <t>COM-05</t>
        </is>
      </c>
      <c r="B116" s="16" t="inlineStr">
        <is>
          <t>Notification</t>
        </is>
      </c>
      <c r="C116" s="16" t="inlineStr">
        <is>
          <t>Notification framework</t>
        </is>
      </c>
      <c r="D116" s="16" t="inlineStr">
        <is>
          <t>TS-41, TS-54</t>
        </is>
      </c>
      <c r="E116" s="21" t="n">
        <v>6</v>
      </c>
      <c r="F116" s="21" t="n">
        <v>2</v>
      </c>
      <c r="G116" s="21" t="n">
        <v>2</v>
      </c>
      <c r="H116" s="21" t="n">
        <v>0</v>
      </c>
      <c r="I116" s="16" t="inlineStr">
        <is>
          <t>CS-0236–CS-0238, CS-0293–CS-0295</t>
        </is>
      </c>
      <c r="J116" s="16" t="inlineStr">
        <is>
          <t>Partly executed – passed</t>
        </is>
      </c>
    </row>
    <row r="117">
      <c r="A117" s="15" t="inlineStr">
        <is>
          <t>COM-06</t>
        </is>
      </c>
      <c r="B117" s="16" t="inlineStr">
        <is>
          <t>Document</t>
        </is>
      </c>
      <c r="C117" s="16" t="inlineStr">
        <is>
          <t>Document repository</t>
        </is>
      </c>
      <c r="D117" s="16" t="inlineStr">
        <is>
          <t>TS-28, TS-38</t>
        </is>
      </c>
      <c r="E117" s="21" t="n">
        <v>18</v>
      </c>
      <c r="F117" s="21" t="n">
        <v>17</v>
      </c>
      <c r="G117" s="21" t="n">
        <v>17</v>
      </c>
      <c r="H117" s="21" t="n">
        <v>0</v>
      </c>
      <c r="I117" s="16" t="inlineStr">
        <is>
          <t>CS-0178–CS-0183, CS-0217–CS-0228</t>
        </is>
      </c>
      <c r="J117" s="16" t="inlineStr">
        <is>
          <t>Partly executed – passed</t>
        </is>
      </c>
    </row>
    <row r="118">
      <c r="A118" s="15" t="inlineStr">
        <is>
          <t>COM-07</t>
        </is>
      </c>
      <c r="B118" s="16" t="inlineStr">
        <is>
          <t>Search</t>
        </is>
      </c>
      <c r="C118" s="16" t="inlineStr">
        <is>
          <t>Global search</t>
        </is>
      </c>
      <c r="D118" s="16" t="inlineStr">
        <is>
          <t>TS-65, TS-66</t>
        </is>
      </c>
      <c r="E118" s="21" t="n">
        <v>2</v>
      </c>
      <c r="F118" s="21" t="n">
        <v>0</v>
      </c>
      <c r="G118" s="21" t="n">
        <v>0</v>
      </c>
      <c r="H118" s="21" t="n">
        <v>0</v>
      </c>
      <c r="I118" s="16" t="inlineStr">
        <is>
          <t>CS-0334–CS-0335</t>
        </is>
      </c>
      <c r="J118" s="16" t="inlineStr">
        <is>
          <t>Cases defined, not executed</t>
        </is>
      </c>
    </row>
    <row r="119">
      <c r="A119" s="15" t="inlineStr">
        <is>
          <t>COM-08</t>
        </is>
      </c>
      <c r="B119" s="16" t="inlineStr">
        <is>
          <t>Reporting</t>
        </is>
      </c>
      <c r="C119" s="16" t="inlineStr">
        <is>
          <t>Reporting framework</t>
        </is>
      </c>
      <c r="D119" s="16" t="inlineStr">
        <is>
          <t>TS-43</t>
        </is>
      </c>
      <c r="E119" s="21" t="n">
        <v>9</v>
      </c>
      <c r="F119" s="21" t="n">
        <v>9</v>
      </c>
      <c r="G119" s="21" t="n">
        <v>9</v>
      </c>
      <c r="H119" s="21" t="n">
        <v>0</v>
      </c>
      <c r="I119" s="16" t="inlineStr">
        <is>
          <t>CS-0248–CS-0256</t>
        </is>
      </c>
      <c r="J119" s="16" t="inlineStr">
        <is>
          <t>Executed – passed</t>
        </is>
      </c>
    </row>
    <row r="120">
      <c r="A120" s="15" t="inlineStr">
        <is>
          <t>COM-09</t>
        </is>
      </c>
      <c r="B120" s="16" t="inlineStr">
        <is>
          <t>Configuration</t>
        </is>
      </c>
      <c r="C120" s="16" t="inlineStr">
        <is>
          <t>Parameter management</t>
        </is>
      </c>
      <c r="D120" s="16" t="inlineStr">
        <is>
          <t>TS-20, TS-49</t>
        </is>
      </c>
      <c r="E120" s="21" t="n">
        <v>12</v>
      </c>
      <c r="F120" s="21" t="n">
        <v>12</v>
      </c>
      <c r="G120" s="21" t="n">
        <v>12</v>
      </c>
      <c r="H120" s="21" t="n">
        <v>0</v>
      </c>
      <c r="I120" s="16" t="inlineStr">
        <is>
          <t>CS-0124–CS-0131, CS-0271–CS-0274</t>
        </is>
      </c>
      <c r="J120" s="16" t="inlineStr">
        <is>
          <t>Executed – passed</t>
        </is>
      </c>
    </row>
    <row r="121">
      <c r="A121" s="15" t="inlineStr">
        <is>
          <t>COM-10</t>
        </is>
      </c>
      <c r="B121" s="16" t="inlineStr">
        <is>
          <t>Security</t>
        </is>
      </c>
      <c r="C121" s="16" t="inlineStr">
        <is>
          <t>Data encryption</t>
        </is>
      </c>
      <c r="D121" s="16" t="inlineStr">
        <is>
          <t>TS-55</t>
        </is>
      </c>
      <c r="E121" s="21" t="n">
        <v>8</v>
      </c>
      <c r="F121" s="21" t="n">
        <v>7</v>
      </c>
      <c r="G121" s="21" t="n">
        <v>7</v>
      </c>
      <c r="H121" s="21" t="n">
        <v>0</v>
      </c>
      <c r="I121" s="16" t="inlineStr">
        <is>
          <t>CS-0296–CS-0303</t>
        </is>
      </c>
      <c r="J121" s="16" t="inlineStr">
        <is>
          <t>Partly executed – passed</t>
        </is>
      </c>
    </row>
    <row r="122">
      <c r="A122" s="15" t="inlineStr">
        <is>
          <t>NFR-01</t>
        </is>
      </c>
      <c r="B122" s="16" t="inlineStr">
        <is>
          <t>Performance</t>
        </is>
      </c>
      <c r="C122" s="16" t="inlineStr">
        <is>
          <t>Response time</t>
        </is>
      </c>
      <c r="D122" s="16" t="inlineStr">
        <is>
          <t>TS-59</t>
        </is>
      </c>
      <c r="E122" s="21" t="n">
        <v>3</v>
      </c>
      <c r="F122" s="21" t="n">
        <v>0</v>
      </c>
      <c r="G122" s="21" t="n">
        <v>0</v>
      </c>
      <c r="H122" s="21" t="n">
        <v>0</v>
      </c>
      <c r="I122" s="16" t="inlineStr">
        <is>
          <t>CS-0321–CS-0323</t>
        </is>
      </c>
      <c r="J122" s="16" t="inlineStr">
        <is>
          <t>Cases defined, not executed</t>
        </is>
      </c>
    </row>
    <row r="123">
      <c r="A123" s="15" t="inlineStr">
        <is>
          <t>NFR-02</t>
        </is>
      </c>
      <c r="B123" s="16" t="inlineStr">
        <is>
          <t>Performance</t>
        </is>
      </c>
      <c r="C123" s="16" t="inlineStr">
        <is>
          <t>Concurrent users</t>
        </is>
      </c>
      <c r="D123" s="16" t="inlineStr">
        <is>
          <t>TS-59</t>
        </is>
      </c>
      <c r="E123" s="21" t="n">
        <v>3</v>
      </c>
      <c r="F123" s="21" t="n">
        <v>0</v>
      </c>
      <c r="G123" s="21" t="n">
        <v>0</v>
      </c>
      <c r="H123" s="21" t="n">
        <v>0</v>
      </c>
      <c r="I123" s="16" t="inlineStr">
        <is>
          <t>CS-0321–CS-0323</t>
        </is>
      </c>
      <c r="J123" s="16" t="inlineStr">
        <is>
          <t>Cases defined, not executed</t>
        </is>
      </c>
    </row>
    <row r="124">
      <c r="A124" s="15" t="inlineStr">
        <is>
          <t>NFR-03</t>
        </is>
      </c>
      <c r="B124" s="16" t="inlineStr">
        <is>
          <t>Performance</t>
        </is>
      </c>
      <c r="C124" s="16" t="inlineStr">
        <is>
          <t>Transaction volume</t>
        </is>
      </c>
      <c r="D124" s="16" t="inlineStr">
        <is>
          <t>TS-59</t>
        </is>
      </c>
      <c r="E124" s="21" t="n">
        <v>3</v>
      </c>
      <c r="F124" s="21" t="n">
        <v>0</v>
      </c>
      <c r="G124" s="21" t="n">
        <v>0</v>
      </c>
      <c r="H124" s="21" t="n">
        <v>0</v>
      </c>
      <c r="I124" s="16" t="inlineStr">
        <is>
          <t>CS-0321–CS-0323</t>
        </is>
      </c>
      <c r="J124" s="16" t="inlineStr">
        <is>
          <t>Cases defined, not executed</t>
        </is>
      </c>
    </row>
    <row r="125">
      <c r="A125" s="15" t="inlineStr">
        <is>
          <t>NFR-04</t>
        </is>
      </c>
      <c r="B125" s="16" t="inlineStr">
        <is>
          <t>Availability</t>
        </is>
      </c>
      <c r="C125" s="16" t="inlineStr">
        <is>
          <t>System availability</t>
        </is>
      </c>
      <c r="D125" s="16" t="inlineStr">
        <is>
          <t>TS-60</t>
        </is>
      </c>
      <c r="E125" s="21" t="n">
        <v>2</v>
      </c>
      <c r="F125" s="21" t="n">
        <v>0</v>
      </c>
      <c r="G125" s="21" t="n">
        <v>0</v>
      </c>
      <c r="H125" s="21" t="n">
        <v>0</v>
      </c>
      <c r="I125" s="16" t="inlineStr">
        <is>
          <t>CS-0324–CS-0325</t>
        </is>
      </c>
      <c r="J125" s="16" t="inlineStr">
        <is>
          <t>Cases defined, not executed</t>
        </is>
      </c>
    </row>
    <row r="126">
      <c r="A126" s="15" t="inlineStr">
        <is>
          <t>NFR-05</t>
        </is>
      </c>
      <c r="B126" s="16" t="inlineStr">
        <is>
          <t>Availability</t>
        </is>
      </c>
      <c r="C126" s="16" t="inlineStr">
        <is>
          <t>High availability</t>
        </is>
      </c>
      <c r="D126" s="16" t="inlineStr">
        <is>
          <t>TS-60</t>
        </is>
      </c>
      <c r="E126" s="21" t="n">
        <v>2</v>
      </c>
      <c r="F126" s="21" t="n">
        <v>0</v>
      </c>
      <c r="G126" s="21" t="n">
        <v>0</v>
      </c>
      <c r="H126" s="21" t="n">
        <v>0</v>
      </c>
      <c r="I126" s="16" t="inlineStr">
        <is>
          <t>CS-0324–CS-0325</t>
        </is>
      </c>
      <c r="J126" s="16" t="inlineStr">
        <is>
          <t>Cases defined, not executed</t>
        </is>
      </c>
    </row>
    <row r="127">
      <c r="A127" s="15" t="inlineStr">
        <is>
          <t>NFR-06</t>
        </is>
      </c>
      <c r="B127" s="16" t="inlineStr">
        <is>
          <t>Scalability</t>
        </is>
      </c>
      <c r="C127" s="16" t="inlineStr">
        <is>
          <t>User scalability</t>
        </is>
      </c>
      <c r="D127" s="16" t="inlineStr">
        <is>
          <t>TS-59</t>
        </is>
      </c>
      <c r="E127" s="21" t="n">
        <v>3</v>
      </c>
      <c r="F127" s="21" t="n">
        <v>0</v>
      </c>
      <c r="G127" s="21" t="n">
        <v>0</v>
      </c>
      <c r="H127" s="21" t="n">
        <v>0</v>
      </c>
      <c r="I127" s="16" t="inlineStr">
        <is>
          <t>CS-0321–CS-0323</t>
        </is>
      </c>
      <c r="J127" s="16" t="inlineStr">
        <is>
          <t>Cases defined, not executed</t>
        </is>
      </c>
    </row>
    <row r="128">
      <c r="A128" s="15" t="inlineStr">
        <is>
          <t>NFR-07</t>
        </is>
      </c>
      <c r="B128" s="16" t="inlineStr">
        <is>
          <t>Scalability</t>
        </is>
      </c>
      <c r="C128" s="16" t="inlineStr">
        <is>
          <t>Transaction scalability</t>
        </is>
      </c>
      <c r="D128" s="16" t="inlineStr">
        <is>
          <t>TS-59</t>
        </is>
      </c>
      <c r="E128" s="21" t="n">
        <v>3</v>
      </c>
      <c r="F128" s="21" t="n">
        <v>0</v>
      </c>
      <c r="G128" s="21" t="n">
        <v>0</v>
      </c>
      <c r="H128" s="21" t="n">
        <v>0</v>
      </c>
      <c r="I128" s="16" t="inlineStr">
        <is>
          <t>CS-0321–CS-0323</t>
        </is>
      </c>
      <c r="J128" s="16" t="inlineStr">
        <is>
          <t>Cases defined, not executed</t>
        </is>
      </c>
    </row>
    <row r="129">
      <c r="A129" s="15" t="inlineStr">
        <is>
          <t>NFR-08</t>
        </is>
      </c>
      <c r="B129" s="16" t="inlineStr">
        <is>
          <t>Security</t>
        </is>
      </c>
      <c r="C129" s="16" t="inlineStr">
        <is>
          <t>Encryption</t>
        </is>
      </c>
      <c r="D129" s="16" t="inlineStr">
        <is>
          <t>TS-55</t>
        </is>
      </c>
      <c r="E129" s="21" t="n">
        <v>8</v>
      </c>
      <c r="F129" s="21" t="n">
        <v>7</v>
      </c>
      <c r="G129" s="21" t="n">
        <v>7</v>
      </c>
      <c r="H129" s="21" t="n">
        <v>0</v>
      </c>
      <c r="I129" s="16" t="inlineStr">
        <is>
          <t>CS-0296–CS-0303</t>
        </is>
      </c>
      <c r="J129" s="16" t="inlineStr">
        <is>
          <t>Partly executed – passed</t>
        </is>
      </c>
    </row>
    <row r="130">
      <c r="A130" s="15" t="inlineStr">
        <is>
          <t>NFR-09</t>
        </is>
      </c>
      <c r="B130" s="16" t="inlineStr">
        <is>
          <t>Security</t>
        </is>
      </c>
      <c r="C130" s="16" t="inlineStr">
        <is>
          <t>Authentication</t>
        </is>
      </c>
      <c r="D130" s="16" t="inlineStr">
        <is>
          <t>TS-01, TS-02, TS-03, TS-04, TS-58</t>
        </is>
      </c>
      <c r="E130" s="21" t="n">
        <v>35</v>
      </c>
      <c r="F130" s="21" t="n">
        <v>30</v>
      </c>
      <c r="G130" s="21" t="n">
        <v>30</v>
      </c>
      <c r="H130" s="21" t="n">
        <v>0</v>
      </c>
      <c r="I130" s="16" t="inlineStr">
        <is>
          <t>CS-0001–CS-0034, CS-0320</t>
        </is>
      </c>
      <c r="J130" s="16" t="inlineStr">
        <is>
          <t>Partly executed – passed</t>
        </is>
      </c>
    </row>
    <row r="131">
      <c r="A131" s="15" t="inlineStr">
        <is>
          <t>NFR-10</t>
        </is>
      </c>
      <c r="B131" s="16" t="inlineStr">
        <is>
          <t>Security</t>
        </is>
      </c>
      <c r="C131" s="16" t="inlineStr">
        <is>
          <t>Authorisation</t>
        </is>
      </c>
      <c r="D131" s="16" t="inlineStr">
        <is>
          <t>TS-06</t>
        </is>
      </c>
      <c r="E131" s="21" t="n">
        <v>9</v>
      </c>
      <c r="F131" s="21" t="n">
        <v>9</v>
      </c>
      <c r="G131" s="21" t="n">
        <v>9</v>
      </c>
      <c r="H131" s="21" t="n">
        <v>0</v>
      </c>
      <c r="I131" s="16" t="inlineStr">
        <is>
          <t>CS-0038–CS-0046</t>
        </is>
      </c>
      <c r="J131" s="16" t="inlineStr">
        <is>
          <t>Executed – passed</t>
        </is>
      </c>
    </row>
    <row r="132">
      <c r="A132" s="15" t="inlineStr">
        <is>
          <t>NFR-11</t>
        </is>
      </c>
      <c r="B132" s="16" t="inlineStr">
        <is>
          <t>Security</t>
        </is>
      </c>
      <c r="C132" s="16" t="inlineStr">
        <is>
          <t>Audit logging</t>
        </is>
      </c>
      <c r="D132" s="16" t="inlineStr">
        <is>
          <t>TS-46</t>
        </is>
      </c>
      <c r="E132" s="21" t="n">
        <v>3</v>
      </c>
      <c r="F132" s="21" t="n">
        <v>3</v>
      </c>
      <c r="G132" s="21" t="n">
        <v>3</v>
      </c>
      <c r="H132" s="21" t="n">
        <v>0</v>
      </c>
      <c r="I132" s="16" t="inlineStr">
        <is>
          <t>CS-0261–CS-0263</t>
        </is>
      </c>
      <c r="J132" s="16" t="inlineStr">
        <is>
          <t>Executed – passed</t>
        </is>
      </c>
    </row>
    <row r="133">
      <c r="A133" s="15" t="inlineStr">
        <is>
          <t>NFR-12</t>
        </is>
      </c>
      <c r="B133" s="16" t="inlineStr">
        <is>
          <t>Security</t>
        </is>
      </c>
      <c r="C133" s="16" t="inlineStr">
        <is>
          <t>Vulnerability management</t>
        </is>
      </c>
      <c r="D133" s="16" t="inlineStr">
        <is>
          <t>TS-57</t>
        </is>
      </c>
      <c r="E133" s="21" t="n">
        <v>3</v>
      </c>
      <c r="F133" s="21" t="n">
        <v>0</v>
      </c>
      <c r="G133" s="21" t="n">
        <v>0</v>
      </c>
      <c r="H133" s="21" t="n">
        <v>0</v>
      </c>
      <c r="I133" s="16" t="inlineStr">
        <is>
          <t>CS-0317–CS-0319</t>
        </is>
      </c>
      <c r="J133" s="16" t="inlineStr">
        <is>
          <t>Cases defined, not executed</t>
        </is>
      </c>
    </row>
    <row r="134">
      <c r="A134" s="15" t="inlineStr">
        <is>
          <t>NFR-13</t>
        </is>
      </c>
      <c r="B134" s="16" t="inlineStr">
        <is>
          <t>Security</t>
        </is>
      </c>
      <c r="C134" s="16" t="inlineStr">
        <is>
          <t>Penetration testing</t>
        </is>
      </c>
      <c r="D134" s="16" t="inlineStr">
        <is>
          <t>TS-57</t>
        </is>
      </c>
      <c r="E134" s="21" t="n">
        <v>3</v>
      </c>
      <c r="F134" s="21" t="n">
        <v>0</v>
      </c>
      <c r="G134" s="21" t="n">
        <v>0</v>
      </c>
      <c r="H134" s="21" t="n">
        <v>0</v>
      </c>
      <c r="I134" s="16" t="inlineStr">
        <is>
          <t>CS-0317–CS-0319</t>
        </is>
      </c>
      <c r="J134" s="16" t="inlineStr">
        <is>
          <t>Cases defined, not executed</t>
        </is>
      </c>
    </row>
    <row r="135">
      <c r="A135" s="15" t="inlineStr">
        <is>
          <t>NFR-14</t>
        </is>
      </c>
      <c r="B135" s="16" t="inlineStr">
        <is>
          <t>Security</t>
        </is>
      </c>
      <c r="C135" s="16" t="inlineStr">
        <is>
          <t>Secure development compliance</t>
        </is>
      </c>
      <c r="D135" s="16" t="inlineStr">
        <is>
          <t>TS-56, TS-57, TS-69</t>
        </is>
      </c>
      <c r="E135" s="21" t="n">
        <v>26</v>
      </c>
      <c r="F135" s="21" t="n">
        <v>23</v>
      </c>
      <c r="G135" s="21" t="n">
        <v>23</v>
      </c>
      <c r="H135" s="21" t="n">
        <v>0</v>
      </c>
      <c r="I135" s="16" t="inlineStr">
        <is>
          <t>CS-0304–CS-0319, CS-0338–CS-0347</t>
        </is>
      </c>
      <c r="J135" s="16" t="inlineStr">
        <is>
          <t>Partly executed – passed</t>
        </is>
      </c>
    </row>
    <row r="136">
      <c r="A136" s="15" t="inlineStr">
        <is>
          <t>NFR-15</t>
        </is>
      </c>
      <c r="B136" s="16" t="inlineStr">
        <is>
          <t>Reliability</t>
        </is>
      </c>
      <c r="C136" s="16" t="inlineStr">
        <is>
          <t>Error handling</t>
        </is>
      </c>
      <c r="D136" s="16" t="inlineStr">
        <is>
          <t>TS-56, TS-69</t>
        </is>
      </c>
      <c r="E136" s="21" t="n">
        <v>23</v>
      </c>
      <c r="F136" s="21" t="n">
        <v>23</v>
      </c>
      <c r="G136" s="21" t="n">
        <v>23</v>
      </c>
      <c r="H136" s="21" t="n">
        <v>0</v>
      </c>
      <c r="I136" s="16" t="inlineStr">
        <is>
          <t>CS-0304–CS-0316, CS-0338–CS-0347</t>
        </is>
      </c>
      <c r="J136" s="16" t="inlineStr">
        <is>
          <t>Executed – passed</t>
        </is>
      </c>
    </row>
    <row r="137">
      <c r="A137" s="15" t="inlineStr">
        <is>
          <t>NFR-16</t>
        </is>
      </c>
      <c r="B137" s="16" t="inlineStr">
        <is>
          <t>Reliability</t>
        </is>
      </c>
      <c r="C137" s="16" t="inlineStr">
        <is>
          <t>Transaction integrity</t>
        </is>
      </c>
      <c r="D137" s="16" t="inlineStr">
        <is>
          <t>TS-63</t>
        </is>
      </c>
      <c r="E137" s="21" t="n">
        <v>2</v>
      </c>
      <c r="F137" s="21" t="n">
        <v>0</v>
      </c>
      <c r="G137" s="21" t="n">
        <v>0</v>
      </c>
      <c r="H137" s="21" t="n">
        <v>0</v>
      </c>
      <c r="I137" s="16" t="inlineStr">
        <is>
          <t>CS-0331–CS-0332</t>
        </is>
      </c>
      <c r="J137" s="16" t="inlineStr">
        <is>
          <t>Cases defined, not executed</t>
        </is>
      </c>
    </row>
    <row r="138">
      <c r="A138" s="15" t="inlineStr">
        <is>
          <t>NFR-17</t>
        </is>
      </c>
      <c r="B138" s="16" t="inlineStr">
        <is>
          <t>Backup</t>
        </is>
      </c>
      <c r="C138" s="16" t="inlineStr">
        <is>
          <t>Data backup</t>
        </is>
      </c>
      <c r="D138" s="16" t="inlineStr">
        <is>
          <t>TS-61</t>
        </is>
      </c>
      <c r="E138" s="21" t="n">
        <v>2</v>
      </c>
      <c r="F138" s="21" t="n">
        <v>0</v>
      </c>
      <c r="G138" s="21" t="n">
        <v>0</v>
      </c>
      <c r="H138" s="21" t="n">
        <v>0</v>
      </c>
      <c r="I138" s="16" t="inlineStr">
        <is>
          <t>CS-0326–CS-0327</t>
        </is>
      </c>
      <c r="J138" s="16" t="inlineStr">
        <is>
          <t>Cases defined, not executed</t>
        </is>
      </c>
    </row>
    <row r="139">
      <c r="A139" s="15" t="inlineStr">
        <is>
          <t>NFR-18</t>
        </is>
      </c>
      <c r="B139" s="16" t="inlineStr">
        <is>
          <t>Disaster recovery</t>
        </is>
      </c>
      <c r="C139" s="16" t="inlineStr">
        <is>
          <t>DR capability</t>
        </is>
      </c>
      <c r="D139" s="16" t="inlineStr">
        <is>
          <t>TS-61</t>
        </is>
      </c>
      <c r="E139" s="21" t="n">
        <v>2</v>
      </c>
      <c r="F139" s="21" t="n">
        <v>0</v>
      </c>
      <c r="G139" s="21" t="n">
        <v>0</v>
      </c>
      <c r="H139" s="21" t="n">
        <v>0</v>
      </c>
      <c r="I139" s="16" t="inlineStr">
        <is>
          <t>CS-0326–CS-0327</t>
        </is>
      </c>
      <c r="J139" s="16" t="inlineStr">
        <is>
          <t>Cases defined, not executed</t>
        </is>
      </c>
    </row>
    <row r="140">
      <c r="A140" s="15" t="inlineStr">
        <is>
          <t>NFR-19</t>
        </is>
      </c>
      <c r="B140" s="16" t="inlineStr">
        <is>
          <t>Disaster recovery</t>
        </is>
      </c>
      <c r="C140" s="16" t="inlineStr">
        <is>
          <t>DR testing</t>
        </is>
      </c>
      <c r="D140" s="16" t="inlineStr">
        <is>
          <t>TS-61</t>
        </is>
      </c>
      <c r="E140" s="21" t="n">
        <v>2</v>
      </c>
      <c r="F140" s="21" t="n">
        <v>0</v>
      </c>
      <c r="G140" s="21" t="n">
        <v>0</v>
      </c>
      <c r="H140" s="21" t="n">
        <v>0</v>
      </c>
      <c r="I140" s="16" t="inlineStr">
        <is>
          <t>CS-0326–CS-0327</t>
        </is>
      </c>
      <c r="J140" s="16" t="inlineStr">
        <is>
          <t>Cases defined, not executed</t>
        </is>
      </c>
    </row>
    <row r="141">
      <c r="A141" s="15" t="inlineStr">
        <is>
          <t>NFR-20</t>
        </is>
      </c>
      <c r="B141" s="16" t="inlineStr">
        <is>
          <t>Maintainability</t>
        </is>
      </c>
      <c r="C141" s="16" t="inlineStr">
        <is>
          <t>Modular architecture</t>
        </is>
      </c>
      <c r="D141" s="16" t="inlineStr"/>
      <c r="E141" s="21" t="n">
        <v>0</v>
      </c>
      <c r="F141" s="21" t="n">
        <v>0</v>
      </c>
      <c r="G141" s="21" t="n">
        <v>0</v>
      </c>
      <c r="H141" s="21" t="n">
        <v>0</v>
      </c>
      <c r="I141" s="16" t="inlineStr"/>
      <c r="J141" s="16" t="inlineStr">
        <is>
          <t>Verified by review of the Solution Architecture (modular monolith); not a test case</t>
        </is>
      </c>
    </row>
    <row r="142">
      <c r="A142" s="15" t="inlineStr">
        <is>
          <t>NFR-21</t>
        </is>
      </c>
      <c r="B142" s="16" t="inlineStr">
        <is>
          <t>Maintainability</t>
        </is>
      </c>
      <c r="C142" s="16" t="inlineStr">
        <is>
          <t>Documentation</t>
        </is>
      </c>
      <c r="D142" s="16" t="inlineStr"/>
      <c r="E142" s="21" t="n">
        <v>0</v>
      </c>
      <c r="F142" s="21" t="n">
        <v>0</v>
      </c>
      <c r="G142" s="21" t="n">
        <v>0</v>
      </c>
      <c r="H142" s="21" t="n">
        <v>0</v>
      </c>
      <c r="I142" s="16" t="inlineStr"/>
      <c r="J142" s="16" t="inlineStr">
        <is>
          <t>Verified by the document pack and its rebuild from source; not a test case</t>
        </is>
      </c>
    </row>
    <row r="143">
      <c r="A143" s="15" t="inlineStr">
        <is>
          <t>NFR-22</t>
        </is>
      </c>
      <c r="B143" s="16" t="inlineStr">
        <is>
          <t>Usability</t>
        </is>
      </c>
      <c r="C143" s="16" t="inlineStr">
        <is>
          <t>User interface</t>
        </is>
      </c>
      <c r="D143" s="16" t="inlineStr">
        <is>
          <t>TS-62, TS-70</t>
        </is>
      </c>
      <c r="E143" s="21" t="n">
        <v>94</v>
      </c>
      <c r="F143" s="21" t="n">
        <v>92</v>
      </c>
      <c r="G143" s="21" t="n">
        <v>92</v>
      </c>
      <c r="H143" s="21" t="n">
        <v>0</v>
      </c>
      <c r="I143" s="16" t="inlineStr">
        <is>
          <t>CS-0328–CS-0330, CS-0348–CS-0438</t>
        </is>
      </c>
      <c r="J143" s="16" t="inlineStr">
        <is>
          <t>Partly executed – passed</t>
        </is>
      </c>
    </row>
    <row r="144">
      <c r="A144" s="15" t="inlineStr">
        <is>
          <t>NFR-23</t>
        </is>
      </c>
      <c r="B144" s="16" t="inlineStr">
        <is>
          <t>Usability</t>
        </is>
      </c>
      <c r="C144" s="16" t="inlineStr">
        <is>
          <t>Browser compatibility</t>
        </is>
      </c>
      <c r="D144" s="16" t="inlineStr">
        <is>
          <t>TS-62</t>
        </is>
      </c>
      <c r="E144" s="21" t="n">
        <v>3</v>
      </c>
      <c r="F144" s="21" t="n">
        <v>1</v>
      </c>
      <c r="G144" s="21" t="n">
        <v>1</v>
      </c>
      <c r="H144" s="21" t="n">
        <v>0</v>
      </c>
      <c r="I144" s="16" t="inlineStr">
        <is>
          <t>CS-0328–CS-0330</t>
        </is>
      </c>
      <c r="J144" s="16" t="inlineStr">
        <is>
          <t>Partly executed – passed</t>
        </is>
      </c>
    </row>
    <row r="145">
      <c r="A145" s="15" t="inlineStr">
        <is>
          <t>NFR-24</t>
        </is>
      </c>
      <c r="B145" s="16" t="inlineStr">
        <is>
          <t>Accessibility</t>
        </is>
      </c>
      <c r="C145" s="16" t="inlineStr">
        <is>
          <t>Accessibility</t>
        </is>
      </c>
      <c r="D145" s="16" t="inlineStr">
        <is>
          <t>TS-62</t>
        </is>
      </c>
      <c r="E145" s="21" t="n">
        <v>3</v>
      </c>
      <c r="F145" s="21" t="n">
        <v>1</v>
      </c>
      <c r="G145" s="21" t="n">
        <v>1</v>
      </c>
      <c r="H145" s="21" t="n">
        <v>0</v>
      </c>
      <c r="I145" s="16" t="inlineStr">
        <is>
          <t>CS-0328–CS-0330</t>
        </is>
      </c>
      <c r="J145" s="16" t="inlineStr">
        <is>
          <t>Partly executed – passed</t>
        </is>
      </c>
    </row>
    <row r="146">
      <c r="A146" s="15" t="inlineStr">
        <is>
          <t>NFR-25</t>
        </is>
      </c>
      <c r="B146" s="16" t="inlineStr">
        <is>
          <t>Compatibility</t>
        </is>
      </c>
      <c r="C146" s="16" t="inlineStr">
        <is>
          <t>API standards</t>
        </is>
      </c>
      <c r="D146" s="16" t="inlineStr">
        <is>
          <t>TS-64</t>
        </is>
      </c>
      <c r="E146" s="21" t="n">
        <v>1</v>
      </c>
      <c r="F146" s="21" t="n">
        <v>0</v>
      </c>
      <c r="G146" s="21" t="n">
        <v>0</v>
      </c>
      <c r="H146" s="21" t="n">
        <v>0</v>
      </c>
      <c r="I146" s="16" t="inlineStr">
        <is>
          <t>CS-0333</t>
        </is>
      </c>
      <c r="J146" s="16" t="inlineStr">
        <is>
          <t>Cases defined, not executed</t>
        </is>
      </c>
    </row>
    <row r="147">
      <c r="A147" s="15" t="inlineStr">
        <is>
          <t>NFR-26</t>
        </is>
      </c>
      <c r="B147" s="16" t="inlineStr">
        <is>
          <t>Monitoring</t>
        </is>
      </c>
      <c r="C147" s="16" t="inlineStr">
        <is>
          <t>System monitoring</t>
        </is>
      </c>
      <c r="D147" s="16" t="inlineStr">
        <is>
          <t>TS-60</t>
        </is>
      </c>
      <c r="E147" s="21" t="n">
        <v>2</v>
      </c>
      <c r="F147" s="21" t="n">
        <v>0</v>
      </c>
      <c r="G147" s="21" t="n">
        <v>0</v>
      </c>
      <c r="H147" s="21" t="n">
        <v>0</v>
      </c>
      <c r="I147" s="16" t="inlineStr">
        <is>
          <t>CS-0324–CS-0325</t>
        </is>
      </c>
      <c r="J147" s="16" t="inlineStr">
        <is>
          <t>Cases defined, not executed</t>
        </is>
      </c>
    </row>
    <row r="148">
      <c r="A148" s="15" t="inlineStr">
        <is>
          <t>NFR-27</t>
        </is>
      </c>
      <c r="B148" s="16" t="inlineStr">
        <is>
          <t>Monitoring</t>
        </is>
      </c>
      <c r="C148" s="16" t="inlineStr">
        <is>
          <t>Alerting</t>
        </is>
      </c>
      <c r="D148" s="16" t="inlineStr">
        <is>
          <t>TS-53, TS-60</t>
        </is>
      </c>
      <c r="E148" s="21" t="n">
        <v>5</v>
      </c>
      <c r="F148" s="21" t="n">
        <v>2</v>
      </c>
      <c r="G148" s="21" t="n">
        <v>2</v>
      </c>
      <c r="H148" s="21" t="n">
        <v>0</v>
      </c>
      <c r="I148" s="16" t="inlineStr">
        <is>
          <t>CS-0290–CS-0292, CS-0324–CS-0325</t>
        </is>
      </c>
      <c r="J148" s="16" t="inlineStr">
        <is>
          <t>Partly executed – passed</t>
        </is>
      </c>
    </row>
    <row r="149">
      <c r="A149" s="15" t="inlineStr">
        <is>
          <t>NFR-28</t>
        </is>
      </c>
      <c r="B149" s="16" t="inlineStr">
        <is>
          <t>Logging</t>
        </is>
      </c>
      <c r="C149" s="16" t="inlineStr">
        <is>
          <t>Centralised logs</t>
        </is>
      </c>
      <c r="D149" s="16" t="inlineStr">
        <is>
          <t>TS-60</t>
        </is>
      </c>
      <c r="E149" s="21" t="n">
        <v>2</v>
      </c>
      <c r="F149" s="21" t="n">
        <v>0</v>
      </c>
      <c r="G149" s="21" t="n">
        <v>0</v>
      </c>
      <c r="H149" s="21" t="n">
        <v>0</v>
      </c>
      <c r="I149" s="16" t="inlineStr">
        <is>
          <t>CS-0324–CS-0325</t>
        </is>
      </c>
      <c r="J149" s="16" t="inlineStr">
        <is>
          <t>Cases defined, not executed</t>
        </is>
      </c>
    </row>
    <row r="150">
      <c r="A150" s="15" t="inlineStr">
        <is>
          <t>NFR-29</t>
        </is>
      </c>
      <c r="B150" s="16" t="inlineStr">
        <is>
          <t>Data</t>
        </is>
      </c>
      <c r="C150" s="16" t="inlineStr">
        <is>
          <t>Data retention</t>
        </is>
      </c>
      <c r="D150" s="16" t="inlineStr">
        <is>
          <t>TS-65</t>
        </is>
      </c>
      <c r="E150" s="21" t="n">
        <v>1</v>
      </c>
      <c r="F150" s="21" t="n">
        <v>0</v>
      </c>
      <c r="G150" s="21" t="n">
        <v>0</v>
      </c>
      <c r="H150" s="21" t="n">
        <v>0</v>
      </c>
      <c r="I150" s="16" t="inlineStr">
        <is>
          <t>CS-0334</t>
        </is>
      </c>
      <c r="J150" s="16" t="inlineStr">
        <is>
          <t>Cases defined, not executed</t>
        </is>
      </c>
    </row>
    <row r="151">
      <c r="A151" s="15" t="inlineStr">
        <is>
          <t>NFR-30</t>
        </is>
      </c>
      <c r="B151" s="16" t="inlineStr">
        <is>
          <t>Data</t>
        </is>
      </c>
      <c r="C151" s="16" t="inlineStr">
        <is>
          <t>Data quality</t>
        </is>
      </c>
      <c r="D151" s="16" t="inlineStr">
        <is>
          <t>TS-11, TS-38, TS-56</t>
        </is>
      </c>
      <c r="E151" s="21" t="n">
        <v>31</v>
      </c>
      <c r="F151" s="21" t="n">
        <v>29</v>
      </c>
      <c r="G151" s="21" t="n">
        <v>29</v>
      </c>
      <c r="H151" s="21" t="n">
        <v>0</v>
      </c>
      <c r="I151" s="16" t="inlineStr">
        <is>
          <t>CS-0071–CS-0076, CS-0217–CS-0228, CS-0304–CS-0316</t>
        </is>
      </c>
      <c r="J151" s="16" t="inlineStr">
        <is>
          <t>Partly executed – passed</t>
        </is>
      </c>
    </row>
    <row r="152">
      <c r="A152" s="15" t="inlineStr">
        <is>
          <t>DEL-09</t>
        </is>
      </c>
      <c r="B152" s="16" t="inlineStr">
        <is>
          <t>Integration</t>
        </is>
      </c>
      <c r="C152" s="16" t="inlineStr">
        <is>
          <t>Interface specification</t>
        </is>
      </c>
      <c r="D152" s="16" t="inlineStr">
        <is>
          <t>TS-64</t>
        </is>
      </c>
      <c r="E152" s="21" t="n">
        <v>1</v>
      </c>
      <c r="F152" s="21" t="n">
        <v>0</v>
      </c>
      <c r="G152" s="21" t="n">
        <v>0</v>
      </c>
      <c r="H152" s="21" t="n">
        <v>0</v>
      </c>
      <c r="I152" s="16" t="inlineStr">
        <is>
          <t>CS-0333</t>
        </is>
      </c>
      <c r="J152" s="16" t="inlineStr">
        <is>
          <t>Cases defined, not executed</t>
        </is>
      </c>
    </row>
    <row r="153">
      <c r="A153" s="15" t="inlineStr">
        <is>
          <t>DEL-12</t>
        </is>
      </c>
      <c r="B153" s="16" t="inlineStr">
        <is>
          <t>Testing</t>
        </is>
      </c>
      <c r="C153" s="16" t="inlineStr">
        <is>
          <t>Test strategy</t>
        </is>
      </c>
      <c r="D153" s="16" t="inlineStr"/>
      <c r="E153" s="21" t="n">
        <v>0</v>
      </c>
      <c r="F153" s="21" t="n">
        <v>0</v>
      </c>
      <c r="G153" s="21" t="n">
        <v>0</v>
      </c>
      <c r="H153" s="21" t="n">
        <v>0</v>
      </c>
      <c r="I153" s="16" t="inlineStr"/>
      <c r="J153" s="16" t="inlineStr">
        <is>
          <t>This Test Strategy</t>
        </is>
      </c>
    </row>
    <row r="154">
      <c r="A154" s="15" t="inlineStr">
        <is>
          <t>DEL-13</t>
        </is>
      </c>
      <c r="B154" s="16" t="inlineStr">
        <is>
          <t>Testing</t>
        </is>
      </c>
      <c r="C154" s="16" t="inlineStr">
        <is>
          <t>SIT test cases</t>
        </is>
      </c>
      <c r="D154" s="16" t="inlineStr"/>
      <c r="E154" s="21" t="n">
        <v>0</v>
      </c>
      <c r="F154" s="21" t="n">
        <v>0</v>
      </c>
      <c r="G154" s="21" t="n">
        <v>0</v>
      </c>
      <c r="H154" s="21" t="n">
        <v>0</v>
      </c>
      <c r="I154" s="16" t="inlineStr"/>
      <c r="J154" s="16" t="inlineStr">
        <is>
          <t>This workbook (Scenarios, Conditions, Cases)</t>
        </is>
      </c>
    </row>
    <row r="155">
      <c r="A155" s="15" t="inlineStr">
        <is>
          <t>DEL-14</t>
        </is>
      </c>
      <c r="B155" s="16" t="inlineStr">
        <is>
          <t>Testing</t>
        </is>
      </c>
      <c r="C155" s="16" t="inlineStr">
        <is>
          <t>SIT results</t>
        </is>
      </c>
      <c r="D155" s="16" t="inlineStr"/>
      <c r="E155" s="21" t="n">
        <v>0</v>
      </c>
      <c r="F155" s="21" t="n">
        <v>0</v>
      </c>
      <c r="G155" s="21" t="n">
        <v>0</v>
      </c>
      <c r="H155" s="21" t="n">
        <v>0</v>
      </c>
      <c r="I155" s="16" t="inlineStr"/>
      <c r="J155" s="16" t="inlineStr">
        <is>
          <t>Execution log and evidence files of this workbook; the SIT results report follows SIT</t>
        </is>
      </c>
    </row>
    <row r="156">
      <c r="A156" s="15" t="inlineStr">
        <is>
          <t>DEL-15</t>
        </is>
      </c>
      <c r="B156" s="16" t="inlineStr">
        <is>
          <t>Testing</t>
        </is>
      </c>
      <c r="C156" s="16" t="inlineStr">
        <is>
          <t>UAT test cases</t>
        </is>
      </c>
      <c r="D156" s="16" t="inlineStr">
        <is>
          <t>TS-67</t>
        </is>
      </c>
      <c r="E156" s="21" t="n">
        <v>1</v>
      </c>
      <c r="F156" s="21" t="n">
        <v>0</v>
      </c>
      <c r="G156" s="21" t="n">
        <v>0</v>
      </c>
      <c r="H156" s="21" t="n">
        <v>0</v>
      </c>
      <c r="I156" s="16" t="inlineStr">
        <is>
          <t>CS-0336</t>
        </is>
      </c>
      <c r="J156" s="16" t="inlineStr">
        <is>
          <t>Cases defined, not executed</t>
        </is>
      </c>
    </row>
    <row r="157">
      <c r="A157" s="15" t="inlineStr">
        <is>
          <t>DEL-16</t>
        </is>
      </c>
      <c r="B157" s="16" t="inlineStr">
        <is>
          <t>Testing</t>
        </is>
      </c>
      <c r="C157" s="16" t="inlineStr">
        <is>
          <t>UAT results</t>
        </is>
      </c>
      <c r="D157" s="16" t="inlineStr">
        <is>
          <t>TS-67</t>
        </is>
      </c>
      <c r="E157" s="21" t="n">
        <v>1</v>
      </c>
      <c r="F157" s="21" t="n">
        <v>0</v>
      </c>
      <c r="G157" s="21" t="n">
        <v>0</v>
      </c>
      <c r="H157" s="21" t="n">
        <v>0</v>
      </c>
      <c r="I157" s="16" t="inlineStr">
        <is>
          <t>CS-0336</t>
        </is>
      </c>
      <c r="J157" s="16" t="inlineStr">
        <is>
          <t>Cases defined, not executed</t>
        </is>
      </c>
    </row>
    <row r="158">
      <c r="A158" s="15" t="inlineStr">
        <is>
          <t>DEL-17</t>
        </is>
      </c>
      <c r="B158" s="16" t="inlineStr">
        <is>
          <t>Security</t>
        </is>
      </c>
      <c r="C158" s="16" t="inlineStr">
        <is>
          <t>Security assessment (VAPT)</t>
        </is>
      </c>
      <c r="D158" s="16" t="inlineStr">
        <is>
          <t>TS-57</t>
        </is>
      </c>
      <c r="E158" s="21" t="n">
        <v>3</v>
      </c>
      <c r="F158" s="21" t="n">
        <v>0</v>
      </c>
      <c r="G158" s="21" t="n">
        <v>0</v>
      </c>
      <c r="H158" s="21" t="n">
        <v>0</v>
      </c>
      <c r="I158" s="16" t="inlineStr">
        <is>
          <t>CS-0317–CS-0319</t>
        </is>
      </c>
      <c r="J158" s="16" t="inlineStr">
        <is>
          <t>Cases defined, not executed</t>
        </is>
      </c>
    </row>
    <row r="159">
      <c r="A159" s="15" t="inlineStr">
        <is>
          <t>DEL-18</t>
        </is>
      </c>
      <c r="B159" s="16" t="inlineStr">
        <is>
          <t>Performance</t>
        </is>
      </c>
      <c r="C159" s="16" t="inlineStr">
        <is>
          <t>Performance test report</t>
        </is>
      </c>
      <c r="D159" s="16" t="inlineStr">
        <is>
          <t>TS-59</t>
        </is>
      </c>
      <c r="E159" s="21" t="n">
        <v>3</v>
      </c>
      <c r="F159" s="21" t="n">
        <v>0</v>
      </c>
      <c r="G159" s="21" t="n">
        <v>0</v>
      </c>
      <c r="H159" s="21" t="n">
        <v>0</v>
      </c>
      <c r="I159" s="16" t="inlineStr">
        <is>
          <t>CS-0321–CS-0323</t>
        </is>
      </c>
      <c r="J159" s="16" t="inlineStr">
        <is>
          <t>Cases defined, not executed</t>
        </is>
      </c>
    </row>
    <row r="160">
      <c r="A160" s="15" t="inlineStr">
        <is>
          <t>DEL-19</t>
        </is>
      </c>
      <c r="B160" s="16" t="inlineStr">
        <is>
          <t>Migration</t>
        </is>
      </c>
      <c r="C160" s="16" t="inlineStr">
        <is>
          <t>Data migration plan</t>
        </is>
      </c>
      <c r="D160" s="16" t="inlineStr">
        <is>
          <t>TS-66</t>
        </is>
      </c>
      <c r="E160" s="21" t="n">
        <v>1</v>
      </c>
      <c r="F160" s="21" t="n">
        <v>0</v>
      </c>
      <c r="G160" s="21" t="n">
        <v>0</v>
      </c>
      <c r="H160" s="21" t="n">
        <v>0</v>
      </c>
      <c r="I160" s="16" t="inlineStr">
        <is>
          <t>CS-0335</t>
        </is>
      </c>
      <c r="J160" s="16" t="inlineStr">
        <is>
          <t>Cases defined, not executed</t>
        </is>
      </c>
    </row>
    <row r="161">
      <c r="A161" s="15" t="inlineStr">
        <is>
          <t>DEL-20</t>
        </is>
      </c>
      <c r="B161" s="16" t="inlineStr">
        <is>
          <t>Deployment</t>
        </is>
      </c>
      <c r="C161" s="16" t="inlineStr">
        <is>
          <t>Deployment plan</t>
        </is>
      </c>
      <c r="D161" s="16" t="inlineStr">
        <is>
          <t>TS-68</t>
        </is>
      </c>
      <c r="E161" s="21" t="n">
        <v>1</v>
      </c>
      <c r="F161" s="21" t="n">
        <v>0</v>
      </c>
      <c r="G161" s="21" t="n">
        <v>0</v>
      </c>
      <c r="H161" s="21" t="n">
        <v>0</v>
      </c>
      <c r="I161" s="16" t="inlineStr">
        <is>
          <t>CS-0337</t>
        </is>
      </c>
      <c r="J161" s="16" t="inlineStr">
        <is>
          <t>Cases defined, not executed</t>
        </is>
      </c>
    </row>
    <row r="162">
      <c r="A162" s="15" t="inlineStr">
        <is>
          <t>DEL-21</t>
        </is>
      </c>
      <c r="B162" s="16" t="inlineStr">
        <is>
          <t>Deployment</t>
        </is>
      </c>
      <c r="C162" s="16" t="inlineStr">
        <is>
          <t>Go-live checklist</t>
        </is>
      </c>
      <c r="D162" s="16" t="inlineStr">
        <is>
          <t>TS-68</t>
        </is>
      </c>
      <c r="E162" s="21" t="n">
        <v>1</v>
      </c>
      <c r="F162" s="21" t="n">
        <v>0</v>
      </c>
      <c r="G162" s="21" t="n">
        <v>0</v>
      </c>
      <c r="H162" s="21" t="n">
        <v>0</v>
      </c>
      <c r="I162" s="16" t="inlineStr">
        <is>
          <t>CS-0337</t>
        </is>
      </c>
      <c r="J162" s="16" t="inlineStr">
        <is>
          <t>Cases defined, not executed</t>
        </is>
      </c>
    </row>
    <row r="163">
      <c r="A163" s="15" t="inlineStr">
        <is>
          <t>MNT-15</t>
        </is>
      </c>
      <c r="B163" s="16" t="inlineStr">
        <is>
          <t>Technology</t>
        </is>
      </c>
      <c r="C163" s="16" t="inlineStr">
        <is>
          <t>Browser compatibility</t>
        </is>
      </c>
      <c r="D163" s="16" t="inlineStr">
        <is>
          <t>TS-62</t>
        </is>
      </c>
      <c r="E163" s="21" t="n">
        <v>3</v>
      </c>
      <c r="F163" s="21" t="n">
        <v>1</v>
      </c>
      <c r="G163" s="21" t="n">
        <v>1</v>
      </c>
      <c r="H163" s="21" t="n">
        <v>0</v>
      </c>
      <c r="I163" s="16" t="inlineStr">
        <is>
          <t>CS-0328–CS-0330</t>
        </is>
      </c>
      <c r="J163" s="16" t="inlineStr">
        <is>
          <t>Partly executed – passed</t>
        </is>
      </c>
    </row>
    <row r="164">
      <c r="A164" s="15" t="inlineStr">
        <is>
          <t>MNT-19</t>
        </is>
      </c>
      <c r="B164" s="16" t="inlineStr">
        <is>
          <t>Backup</t>
        </is>
      </c>
      <c r="C164" s="16" t="inlineStr">
        <is>
          <t>Backup verification</t>
        </is>
      </c>
      <c r="D164" s="16" t="inlineStr">
        <is>
          <t>TS-61</t>
        </is>
      </c>
      <c r="E164" s="21" t="n">
        <v>2</v>
      </c>
      <c r="F164" s="21" t="n">
        <v>0</v>
      </c>
      <c r="G164" s="21" t="n">
        <v>0</v>
      </c>
      <c r="H164" s="21" t="n">
        <v>0</v>
      </c>
      <c r="I164" s="16" t="inlineStr">
        <is>
          <t>CS-0326–CS-0327</t>
        </is>
      </c>
      <c r="J164" s="16" t="inlineStr">
        <is>
          <t>Cases defined, not executed</t>
        </is>
      </c>
    </row>
    <row r="165">
      <c r="A165" s="15" t="inlineStr">
        <is>
          <t>MNT-20</t>
        </is>
      </c>
      <c r="B165" s="16" t="inlineStr">
        <is>
          <t>Disaster recovery</t>
        </is>
      </c>
      <c r="C165" s="16" t="inlineStr">
        <is>
          <t>DR planning and testing</t>
        </is>
      </c>
      <c r="D165" s="16" t="inlineStr">
        <is>
          <t>TS-61</t>
        </is>
      </c>
      <c r="E165" s="21" t="n">
        <v>2</v>
      </c>
      <c r="F165" s="21" t="n">
        <v>0</v>
      </c>
      <c r="G165" s="21" t="n">
        <v>0</v>
      </c>
      <c r="H165" s="21" t="n">
        <v>0</v>
      </c>
      <c r="I165" s="16" t="inlineStr">
        <is>
          <t>CS-0326–CS-0327</t>
        </is>
      </c>
      <c r="J165" s="16" t="inlineStr">
        <is>
          <t>Cases defined, not executed</t>
        </is>
      </c>
    </row>
    <row r="166">
      <c r="A166" s="15" t="inlineStr">
        <is>
          <t>FFR01</t>
        </is>
      </c>
      <c r="B166" s="16" t="inlineStr">
        <is>
          <t>Appendix 3</t>
        </is>
      </c>
      <c r="C166" s="16" t="inlineStr">
        <is>
          <t>FTPHP – Financing Takaful Products (Hire Purchase)</t>
        </is>
      </c>
      <c r="D166" s="16" t="inlineStr">
        <is>
          <t>TS-15, TS-24, TS-32, TS-52</t>
        </is>
      </c>
      <c r="E166" s="21" t="n">
        <v>30</v>
      </c>
      <c r="F166" s="21" t="n">
        <v>25</v>
      </c>
      <c r="G166" s="21" t="n">
        <v>25</v>
      </c>
      <c r="H166" s="21" t="n">
        <v>0</v>
      </c>
      <c r="I166" s="16" t="inlineStr">
        <is>
          <t>CS-0096–CS-0106, CS-0157–CS-0162, CS-0196–CS-0200, CS-0282–CS-0289</t>
        </is>
      </c>
      <c r="J166" s="16" t="inlineStr">
        <is>
          <t>Partly executed – passed</t>
        </is>
      </c>
    </row>
    <row r="167">
      <c r="A167" s="15" t="inlineStr">
        <is>
          <t>FFR02</t>
        </is>
      </c>
      <c r="B167" s="16" t="inlineStr">
        <is>
          <t>Appendix 3</t>
        </is>
      </c>
      <c r="C167" s="16" t="inlineStr">
        <is>
          <t>APHA – Personal Home Assistant Takaful Plan</t>
        </is>
      </c>
      <c r="D167" s="16" t="inlineStr">
        <is>
          <t>TS-18, TS-52</t>
        </is>
      </c>
      <c r="E167" s="21" t="n">
        <v>10</v>
      </c>
      <c r="F167" s="21" t="n">
        <v>9</v>
      </c>
      <c r="G167" s="21" t="n">
        <v>9</v>
      </c>
      <c r="H167" s="21" t="n">
        <v>0</v>
      </c>
      <c r="I167" s="16" t="inlineStr">
        <is>
          <t>CS-0120–CS-0121, CS-0282–CS-0289</t>
        </is>
      </c>
      <c r="J167" s="16" t="inlineStr">
        <is>
          <t>Partly executed – passed</t>
        </is>
      </c>
    </row>
    <row r="168">
      <c r="A168" s="15" t="inlineStr">
        <is>
          <t>FFR03</t>
        </is>
      </c>
      <c r="B168" s="16" t="inlineStr">
        <is>
          <t>Appendix 3</t>
        </is>
      </c>
      <c r="C168" s="16" t="inlineStr">
        <is>
          <t>APPT – Professional Takaful Plan</t>
        </is>
      </c>
      <c r="D168" s="16" t="inlineStr">
        <is>
          <t>TS-16, TS-28, TS-34, TS-52</t>
        </is>
      </c>
      <c r="E168" s="21" t="n">
        <v>27</v>
      </c>
      <c r="F168" s="21" t="n">
        <v>25</v>
      </c>
      <c r="G168" s="21" t="n">
        <v>25</v>
      </c>
      <c r="H168" s="21" t="n">
        <v>0</v>
      </c>
      <c r="I168" s="16" t="inlineStr">
        <is>
          <t>CS-0107–CS-0115, CS-0178–CS-0183, CS-0202–CS-0205, CS-0282–CS-0289</t>
        </is>
      </c>
      <c r="J168" s="16" t="inlineStr">
        <is>
          <t>Partly executed – passed</t>
        </is>
      </c>
    </row>
    <row r="169">
      <c r="A169" s="15" t="inlineStr">
        <is>
          <t>FFR04</t>
        </is>
      </c>
      <c r="B169" s="16" t="inlineStr">
        <is>
          <t>Appendix 3</t>
        </is>
      </c>
      <c r="C169" s="16" t="inlineStr">
        <is>
          <t>APAK – Khairat Takaful Plan</t>
        </is>
      </c>
      <c r="D169" s="16" t="inlineStr">
        <is>
          <t>TS-17, TS-52</t>
        </is>
      </c>
      <c r="E169" s="21" t="n">
        <v>12</v>
      </c>
      <c r="F169" s="21" t="n">
        <v>10</v>
      </c>
      <c r="G169" s="21" t="n">
        <v>10</v>
      </c>
      <c r="H169" s="21" t="n">
        <v>0</v>
      </c>
      <c r="I169" s="16" t="inlineStr">
        <is>
          <t>CS-0116–CS-0119, CS-0282–CS-0289</t>
        </is>
      </c>
      <c r="J169" s="16" t="inlineStr">
        <is>
          <t>Partly executed – passed</t>
        </is>
      </c>
    </row>
    <row r="170">
      <c r="A170" s="15" t="inlineStr">
        <is>
          <t>FFR05</t>
        </is>
      </c>
      <c r="B170" s="16" t="inlineStr">
        <is>
          <t>Appendix 3</t>
        </is>
      </c>
      <c r="C170" s="16" t="inlineStr">
        <is>
          <t>APAOS – Overseas Student Takaful Plan</t>
        </is>
      </c>
      <c r="D170" s="16" t="inlineStr">
        <is>
          <t>TS-19, TS-52</t>
        </is>
      </c>
      <c r="E170" s="21" t="n">
        <v>10</v>
      </c>
      <c r="F170" s="21" t="n">
        <v>8</v>
      </c>
      <c r="G170" s="21" t="n">
        <v>8</v>
      </c>
      <c r="H170" s="21" t="n">
        <v>0</v>
      </c>
      <c r="I170" s="16" t="inlineStr">
        <is>
          <t>CS-0122–CS-0123, CS-0282–CS-0289</t>
        </is>
      </c>
      <c r="J170" s="16" t="inlineStr">
        <is>
          <t>Partly executed – passed</t>
        </is>
      </c>
    </row>
  </sheetData>
  <printOptions horizontalCentered="1"/>
  <pageMargins left="0.4" right="0.4" top="0.6" bottom="0.6" header="0.5" footer="0.5"/>
  <pageSetup orientation="landscape" paperSize="9" fitToHeight="0" fitToWidth="1"/>
  <headerFooter>
    <oddHeader>&amp;R&amp;8 iorta TechNXT | IIFT Agent/Banca Portal &amp; Back-office</oddHeader>
    <oddFooter>&amp;L&amp;8 Commercial-in-Confidence | IIFT-SV2-TCS v1.0&amp;R&amp;8 &amp;A |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00F58220"/>
    <outlinePr summaryBelow="1" summaryRight="1"/>
    <pageSetUpPr fitToPage="1"/>
  </sheetPr>
  <dimension ref="A1:I327"/>
  <sheetViews>
    <sheetView showGridLines="0" zoomScale="9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22" customWidth="1" min="3" max="3"/>
    <col width="48" customWidth="1" min="4" max="4"/>
    <col width="18" customWidth="1" min="5" max="5"/>
    <col width="50" customWidth="1" min="6" max="6"/>
    <col width="46" customWidth="1" min="7" max="7"/>
    <col width="60" customWidth="1" min="8" max="8"/>
    <col width="10" customWidth="1" min="9" max="9"/>
  </cols>
  <sheetData>
    <row r="1" ht="30" customHeight="1">
      <c r="A1" s="14" t="inlineStr">
        <is>
          <t>Run</t>
        </is>
      </c>
      <c r="B1" s="14" t="inlineStr">
        <is>
          <t>When</t>
        </is>
      </c>
      <c r="C1" s="14" t="inlineStr">
        <is>
          <t>Executed by</t>
        </is>
      </c>
      <c r="D1" s="14" t="inlineStr">
        <is>
          <t>Case / test</t>
        </is>
      </c>
      <c r="E1" s="14" t="inlineStr">
        <is>
          <t>Actor</t>
        </is>
      </c>
      <c r="F1" s="14" t="inlineStr">
        <is>
          <t>Request / command</t>
        </is>
      </c>
      <c r="G1" s="14" t="inlineStr">
        <is>
          <t>Expected</t>
        </is>
      </c>
      <c r="H1" s="14" t="inlineStr">
        <is>
          <t>Response / outcome</t>
        </is>
      </c>
      <c r="I1" s="14" t="inlineStr">
        <is>
          <t>Result</t>
        </is>
      </c>
    </row>
    <row r="2">
      <c r="A2" s="16" t="inlineStr">
        <is>
          <t>API run RIR5X2</t>
        </is>
      </c>
      <c r="B2" s="16" t="inlineStr">
        <is>
          <t>2026-10-02 22:12:47 UTC</t>
        </is>
      </c>
      <c r="C2" s="16" t="inlineStr">
        <is>
          <t>iorta TechNXT QA (API run)</t>
        </is>
      </c>
      <c r="D2" s="16" t="inlineStr">
        <is>
          <t>EX-001 – Wrong password and unknown user get the same generic 401</t>
        </is>
      </c>
      <c r="E2" s="16" t="inlineStr">
        <is>
          <t>anonymous</t>
        </is>
      </c>
      <c r="F2" s="16" t="inlineStr">
        <is>
          <t>POST /api/v1/auth/login (unknown user; finance with wrong password)</t>
        </is>
      </c>
      <c r="G2" s="16" t="inlineStr">
        <is>
          <t>HTTP 401 INVALID_CREDENTIALS for both; identical message</t>
        </is>
      </c>
      <c r="H2" s="16" t="inlineStr">
        <is>
          <t>401 INVALID_CREDENTIALS – Invalid username or password | 401 INVALID_CREDENTIALS – Invalid username or password</t>
        </is>
      </c>
      <c r="I2" s="17" t="inlineStr">
        <is>
          <t>Passed</t>
        </is>
      </c>
    </row>
    <row r="3">
      <c r="A3" s="16" t="inlineStr">
        <is>
          <t>API run RIR5X2</t>
        </is>
      </c>
      <c r="B3" s="16" t="inlineStr">
        <is>
          <t>2026-10-02 22:12:47 UTC</t>
        </is>
      </c>
      <c r="C3" s="16" t="inlineStr">
        <is>
          <t>iorta TechNXT QA (API run)</t>
        </is>
      </c>
      <c r="D3" s="16" t="inlineStr">
        <is>
          <t>EX-002 – Successful sign-in issues a HttpOnly SameSite=Strict cookie and a CSRF token</t>
        </is>
      </c>
      <c r="E3" s="16" t="inlineStr">
        <is>
          <t>ag-000001</t>
        </is>
      </c>
      <c r="F3" s="16" t="inlineStr">
        <is>
          <t>POST /api/v1/auth/login</t>
        </is>
      </c>
      <c r="G3" s="16" t="inlineStr">
        <is>
          <t>HTTP 200; Set-Cookie has HttpOnly and SameSite=Strict; csrfToken present; no password hash in body</t>
        </is>
      </c>
      <c r="H3" s="16" t="inlineStr">
        <is>
          <t>200; Set-Cookie flags: Path=/, HttpOnly, SameSite=Strict; csrfToken present</t>
        </is>
      </c>
      <c r="I3" s="17" t="inlineStr">
        <is>
          <t>Passed</t>
        </is>
      </c>
    </row>
    <row r="4">
      <c r="A4" s="16" t="inlineStr">
        <is>
          <t>API run RIR5X2</t>
        </is>
      </c>
      <c r="B4" s="16" t="inlineStr">
        <is>
          <t>2026-10-02 22:12:47 UTC</t>
        </is>
      </c>
      <c r="C4" s="16" t="inlineStr">
        <is>
          <t>iorta TechNXT QA (API run)</t>
        </is>
      </c>
      <c r="D4" s="16" t="inlineStr">
        <is>
          <t>EX-003 – State-changing request without the CSRF token is refused</t>
        </is>
      </c>
      <c r="E4" s="16" t="inlineStr">
        <is>
          <t>ag-000001</t>
        </is>
      </c>
      <c r="F4" s="16" t="inlineStr">
        <is>
          <t>POST /api/v1/common/notifications/read-all (no token; forged token; session token)</t>
        </is>
      </c>
      <c r="G4" s="16" t="inlineStr">
        <is>
          <t>HTTP 403 CSRF_TOKEN_INVALID without token and with a forged token; 204 with the session token</t>
        </is>
      </c>
      <c r="H4" s="16" t="inlineStr">
        <is>
          <t>403 CSRF_TOKEN_INVALID – Security token missing or invalid. Refresh the page. | 403 CSRF_TOKEN_INVALID – Security token missing or invalid. Refresh the page. | 204</t>
        </is>
      </c>
      <c r="I4" s="17" t="inlineStr">
        <is>
          <t>Passed</t>
        </is>
      </c>
    </row>
    <row r="5">
      <c r="A5" s="16" t="inlineStr">
        <is>
          <t>API run RIR5X2</t>
        </is>
      </c>
      <c r="B5" s="16" t="inlineStr">
        <is>
          <t>2026-10-02 22:12:47 UTC</t>
        </is>
      </c>
      <c r="C5" s="16" t="inlineStr">
        <is>
          <t>iorta TechNXT QA (API run)</t>
        </is>
      </c>
      <c r="D5" s="16" t="inlineStr">
        <is>
          <t>EX-004 – Portal user cannot call back-office routes and vice versa</t>
        </is>
      </c>
      <c r="E5" s="16" t="inlineStr">
        <is>
          <t>ag-000001, finance</t>
        </is>
      </c>
      <c r="F5" s="16" t="inlineStr">
        <is>
          <t>GET /api/v1/backoffice/agents as agent; GET /api/v1/portal/policies as finance</t>
        </is>
      </c>
      <c r="G5" s="16" t="inlineStr">
        <is>
          <t>HTTP 403 WRONG_AUDIENCE in both directions</t>
        </is>
      </c>
      <c r="H5" s="16" t="inlineStr">
        <is>
          <t>403 WRONG_AUDIENCE – This function is not available to your account type | 403 WRONG_AUDIENCE – This function is not available to your account type</t>
        </is>
      </c>
      <c r="I5" s="17" t="inlineStr">
        <is>
          <t>Passed</t>
        </is>
      </c>
    </row>
    <row r="6">
      <c r="A6" s="16" t="inlineStr">
        <is>
          <t>API run RIR5X2</t>
        </is>
      </c>
      <c r="B6" s="16" t="inlineStr">
        <is>
          <t>2026-10-02 22:12:47 UTC</t>
        </is>
      </c>
      <c r="C6" s="16" t="inlineStr">
        <is>
          <t>iorta TechNXT QA (API run)</t>
        </is>
      </c>
      <c r="D6" s="16" t="inlineStr">
        <is>
          <t>EX-005 – Permission guard inside the back-office</t>
        </is>
      </c>
      <c r="E6" s="16" t="inlineStr">
        <is>
          <t>ops.maker</t>
        </is>
      </c>
      <c r="F6" s="16" t="inlineStr">
        <is>
          <t>GET /api/v1/backoffice/users</t>
        </is>
      </c>
      <c r="G6" s="16" t="inlineStr">
        <is>
          <t>HTTP 403 FORBIDDEN on user administration for the operations officer</t>
        </is>
      </c>
      <c r="H6" s="16" t="inlineStr">
        <is>
          <t>403 FORBIDDEN – You do not have permission to perform this action</t>
        </is>
      </c>
      <c r="I6" s="17" t="inlineStr">
        <is>
          <t>Passed</t>
        </is>
      </c>
    </row>
    <row r="7">
      <c r="A7" s="16" t="inlineStr">
        <is>
          <t>API run RIR5X2</t>
        </is>
      </c>
      <c r="B7" s="16" t="inlineStr">
        <is>
          <t>2026-10-02 22:12:47 UTC</t>
        </is>
      </c>
      <c r="C7" s="16" t="inlineStr">
        <is>
          <t>iorta TechNXT QA (API run)</t>
        </is>
      </c>
      <c r="D7" s="16" t="inlineStr">
        <is>
          <t>EX-006 – Password policy is enforced on change-password</t>
        </is>
      </c>
      <c r="E7" s="16" t="inlineStr">
        <is>
          <t>ag-000002</t>
        </is>
      </c>
      <c r="F7" s="16" t="inlineStr">
        <is>
          <t>POST /api/v1/auth/change-password (weak new password; wrong current password)</t>
        </is>
      </c>
      <c r="G7" s="16" t="inlineStr">
        <is>
          <t>HTTP 422 PASSWORD_POLICY for a weak password; 422 CURRENT_PASSWORD_INCORRECT when the current password is wrong; the demo password is unchanged</t>
        </is>
      </c>
      <c r="H7" s="16" t="inlineStr">
        <is>
          <t>422 PASSWORD_POLICY – Password does not meet the password policy [At least 12 characters; An upper-case letter; A symbol] | 422 CURRENT_PASSWORD_INCORRECT – Current password is incorrect | session still valid: 200</t>
        </is>
      </c>
      <c r="I7" s="17" t="inlineStr">
        <is>
          <t>Passed</t>
        </is>
      </c>
    </row>
    <row r="8">
      <c r="A8" s="16" t="inlineStr">
        <is>
          <t>API run RIR5X2</t>
        </is>
      </c>
      <c r="B8" s="16" t="inlineStr">
        <is>
          <t>2026-10-02 22:12:47 UTC</t>
        </is>
      </c>
      <c r="C8" s="16" t="inlineStr">
        <is>
          <t>iorta TechNXT QA (API run)</t>
        </is>
      </c>
      <c r="D8" s="16" t="inlineStr">
        <is>
          <t>EX-007 – Logout ends the session server-side</t>
        </is>
      </c>
      <c r="E8" s="16" t="inlineStr">
        <is>
          <t>ag-000003</t>
        </is>
      </c>
      <c r="F8" s="16" t="inlineStr">
        <is>
          <t>GET /api/v1/auth/me; POST /api/v1/auth/logout; GET /api/v1/auth/me</t>
        </is>
      </c>
      <c r="G8" s="16" t="inlineStr">
        <is>
          <t>GET /auth/me 200 before logout, 401 NOT_AUTHENTICATED after</t>
        </is>
      </c>
      <c r="H8" s="16" t="inlineStr">
        <is>
          <t>200 | 204 | 401 NOT_AUTHENTICATED – Please sign in</t>
        </is>
      </c>
      <c r="I8" s="17" t="inlineStr">
        <is>
          <t>Passed</t>
        </is>
      </c>
    </row>
    <row r="9">
      <c r="A9" s="16" t="inlineStr">
        <is>
          <t>API run RIR5X2</t>
        </is>
      </c>
      <c r="B9" s="16" t="inlineStr">
        <is>
          <t>2026-10-02 22:12:48 UTC</t>
        </is>
      </c>
      <c r="C9" s="16" t="inlineStr">
        <is>
          <t>iorta TechNXT QA (API run)</t>
        </is>
      </c>
      <c r="D9" s="16" t="inlineStr">
        <is>
          <t>EX-008 – Signing in again ends the earlier session (single active session)</t>
        </is>
      </c>
      <c r="E9" s="16" t="inlineStr">
        <is>
          <t>ag-000003</t>
        </is>
      </c>
      <c r="F9" s="16" t="inlineStr">
        <is>
          <t>Two sign-ins as ag-000003, then GET /api/v1/auth/me with the first cookie</t>
        </is>
      </c>
      <c r="G9" s="16" t="inlineStr">
        <is>
          <t>The first session receives 401 NOT_AUTHENTICATED after the second sign-in</t>
        </is>
      </c>
      <c r="H9" s="16" t="inlineStr">
        <is>
          <t>401 NOT_AUTHENTICATED – Please sign in</t>
        </is>
      </c>
      <c r="I9" s="17" t="inlineStr">
        <is>
          <t>Passed</t>
        </is>
      </c>
    </row>
    <row r="10">
      <c r="A10" s="16" t="inlineStr">
        <is>
          <t>API run RIR5X2</t>
        </is>
      </c>
      <c r="B10" s="16" t="inlineStr">
        <is>
          <t>2026-10-02 22:13:48 UTC</t>
        </is>
      </c>
      <c r="C10" s="16" t="inlineStr">
        <is>
          <t>iorta TechNXT QA (API run)</t>
        </is>
      </c>
      <c r="D10" s="16" t="inlineStr">
        <is>
          <t>EX-009 – Sub-agents see their own business; the principal sees the whole agency</t>
        </is>
      </c>
      <c r="E10" s="16" t="inlineStr">
        <is>
          <t>ag-000001, ag-000002</t>
        </is>
      </c>
      <c r="F10" s="16" t="inlineStr">
        <is>
          <t>GET /api/v1/portal/policies as ag-000002 and as ag-000001</t>
        </is>
      </c>
      <c r="G10" s="16" t="inlineStr">
        <is>
          <t>ag-000002 lists only policies with agent AG-000002; ag-000001 lists more policies, including those of AG-000002</t>
        </is>
      </c>
      <c r="H10" s="16" t="inlineStr">
        <is>
          <t>sub-agent total=13 onlyOwn=true | principal total=46 includesSubAgent=true</t>
        </is>
      </c>
      <c r="I10" s="17" t="inlineStr">
        <is>
          <t>Passed</t>
        </is>
      </c>
    </row>
    <row r="11">
      <c r="A11" s="16" t="inlineStr">
        <is>
          <t>API run RIR5X2</t>
        </is>
      </c>
      <c r="B11" s="16" t="inlineStr">
        <is>
          <t>2026-10-02 22:13:48 UTC</t>
        </is>
      </c>
      <c r="C11" s="16" t="inlineStr">
        <is>
          <t>iorta TechNXT QA (API run)</t>
        </is>
      </c>
      <c r="D11" s="16" t="inlineStr">
        <is>
          <t>EX-010 – Register an individual participant</t>
        </is>
      </c>
      <c r="E11" s="16" t="inlineStr">
        <is>
          <t>ag-000001</t>
        </is>
      </c>
      <c r="F11" s="16" t="inlineStr">
        <is>
          <t>POST /api/v1/portal/participants (NRIC, class 1 professional)</t>
        </is>
      </c>
      <c r="G11" s="16" t="inlineStr">
        <is>
          <t>HTTP 201; participantNo PT/yy/nnnnnn; amlStatus CLEAR; IC returned masked only</t>
        </is>
      </c>
      <c r="H11" s="16" t="inlineStr">
        <is>
          <t>201 PT/26/000076 aml=CLEAR id=*****8603</t>
        </is>
      </c>
      <c r="I11" s="17" t="inlineStr">
        <is>
          <t>Passed</t>
        </is>
      </c>
    </row>
    <row r="12">
      <c r="A12" s="16" t="inlineStr">
        <is>
          <t>API run RIR5X2</t>
        </is>
      </c>
      <c r="B12" s="16" t="inlineStr">
        <is>
          <t>2026-10-02 22:13:48 UTC</t>
        </is>
      </c>
      <c r="C12" s="16" t="inlineStr">
        <is>
          <t>iorta TechNXT QA (API run)</t>
        </is>
      </c>
      <c r="D12" s="16" t="inlineStr">
        <is>
          <t>EX-011 – Duplicate participant (same IC) is refused with the existing record</t>
        </is>
      </c>
      <c r="E12" s="16" t="inlineStr">
        <is>
          <t>ag-000001</t>
        </is>
      </c>
      <c r="F12" s="16" t="inlineStr">
        <is>
          <t>POST /api/v1/portal/participants (same IC)</t>
        </is>
      </c>
      <c r="G12" s="16" t="inlineStr">
        <is>
          <t>HTTP 422 DUPLICATE_PARTICIPANT naming the existing participant number</t>
        </is>
      </c>
      <c r="H12" s="16" t="inlineStr">
        <is>
          <t>422 DUPLICATE_PARTICIPANT – This participant is already registered as PT/26/000076 [6558a123-ebc2-4cd2-878e-79354f702c6b]</t>
        </is>
      </c>
      <c r="I12" s="17" t="inlineStr">
        <is>
          <t>Passed</t>
        </is>
      </c>
    </row>
    <row r="13">
      <c r="A13" s="16" t="inlineStr">
        <is>
          <t>API run RIR5X2</t>
        </is>
      </c>
      <c r="B13" s="16" t="inlineStr">
        <is>
          <t>2026-10-02 22:13:48 UTC</t>
        </is>
      </c>
      <c r="C13" s="16" t="inlineStr">
        <is>
          <t>iorta TechNXT QA (API run)</t>
        </is>
      </c>
      <c r="D13" s="16" t="inlineStr">
        <is>
          <t>EX-012 – Corporate participant must use a business registration number</t>
        </is>
      </c>
      <c r="E13" s="16" t="inlineStr">
        <is>
          <t>ag-000001</t>
        </is>
      </c>
      <c r="F13" s="16" t="inlineStr">
        <is>
          <t>POST /api/v1/portal/participants (CORPORATE with NRIC)</t>
        </is>
      </c>
      <c r="G13" s="16" t="inlineStr">
        <is>
          <t>HTTP 422 INVALID_ID_TYPE</t>
        </is>
      </c>
      <c r="H13" s="16" t="inlineStr">
        <is>
          <t>422 INVALID_ID_TYPE – Corporate participants are identified by business registration number</t>
        </is>
      </c>
      <c r="I13" s="17" t="inlineStr">
        <is>
          <t>Passed</t>
        </is>
      </c>
    </row>
    <row r="14">
      <c r="A14" s="16" t="inlineStr">
        <is>
          <t>API run RIR5X2</t>
        </is>
      </c>
      <c r="B14" s="16" t="inlineStr">
        <is>
          <t>2026-10-02 22:13:48 UTC</t>
        </is>
      </c>
      <c r="C14" s="16" t="inlineStr">
        <is>
          <t>iorta TechNXT QA (API run)</t>
        </is>
      </c>
      <c r="D14" s="16" t="inlineStr">
        <is>
          <t>EX-013 – Unknown and malformed fields are rejected</t>
        </is>
      </c>
      <c r="E14" s="16" t="inlineStr">
        <is>
          <t>ag-000001</t>
        </is>
      </c>
      <c r="F14" s="16" t="inlineStr">
        <is>
          <t>POST /api/v1/portal/participants (isAdmin, mobile=abc)</t>
        </is>
      </c>
      <c r="G14" s="16" t="inlineStr">
        <is>
          <t>HTTP 400 listing isAdmin as not allowed and the invalid mobile</t>
        </is>
      </c>
      <c r="H14" s="16" t="inlineStr">
        <is>
          <t>400 BAD_REQUEST – Some fields are invalid [property isAdmin should not exist; dateOfBirth must be a valid ISO 8601 date string; mobile must match /^\+?[0-9]{7,15}$/ regular expression]</t>
        </is>
      </c>
      <c r="I14" s="17" t="inlineStr">
        <is>
          <t>Passed</t>
        </is>
      </c>
    </row>
    <row r="15">
      <c r="A15" s="16" t="inlineStr">
        <is>
          <t>API run RIR5X2</t>
        </is>
      </c>
      <c r="B15" s="16" t="inlineStr">
        <is>
          <t>2026-10-02 22:13:48 UTC</t>
        </is>
      </c>
      <c r="C15" s="16" t="inlineStr">
        <is>
          <t>iorta TechNXT QA (API run)</t>
        </is>
      </c>
      <c r="D15" s="16" t="inlineStr">
        <is>
          <t>EX-014 – Exact-ID lookup from another agency returns a masked summary only (single shared profile)</t>
        </is>
      </c>
      <c r="E15" s="16" t="inlineStr">
        <is>
          <t>ag-000003</t>
        </is>
      </c>
      <c r="F15" s="16" t="inlineStr">
        <is>
          <t>GET /api/v1/portal/participants/lookup</t>
        </is>
      </c>
      <c r="G15" s="16" t="inlineStr">
        <is>
          <t>HTTP 200 found=true with participant number and masked name; no address or contact details</t>
        </is>
      </c>
      <c r="H15" s="16" t="inlineStr">
        <is>
          <t>200 {"found":true,"participant":{"id":"6558a123-ebc2-4cd2-878e-79354f702c6b","participantNo":"PT/26/000076","fullName":"Nur Hidayah binti Kamal RIR5X2","idNumberMas</t>
        </is>
      </c>
      <c r="I15" s="17" t="inlineStr">
        <is>
          <t>Passed</t>
        </is>
      </c>
    </row>
    <row r="16">
      <c r="A16" s="16" t="inlineStr">
        <is>
          <t>API run RIR5X2</t>
        </is>
      </c>
      <c r="B16" s="16" t="inlineStr">
        <is>
          <t>2026-10-02 22:13:48 UTC</t>
        </is>
      </c>
      <c r="C16" s="16" t="inlineStr">
        <is>
          <t>iorta TechNXT QA (API run)</t>
        </is>
      </c>
      <c r="D16" s="16" t="inlineStr">
        <is>
          <t>EX-015 – Full profile is not visible to an agency without business with the participant</t>
        </is>
      </c>
      <c r="E16" s="16" t="inlineStr">
        <is>
          <t>ag-000003</t>
        </is>
      </c>
      <c r="F16" s="16" t="inlineStr">
        <is>
          <t>GET /api/v1/portal/participants/6558a123-ebc2-4cd2-878e-79354f702c6b</t>
        </is>
      </c>
      <c r="G16" s="16" t="inlineStr">
        <is>
          <t>HTTP 403 or 404 (not disclosed)</t>
        </is>
      </c>
      <c r="H16" s="16" t="inlineStr">
        <is>
          <t>403 FORBIDDEN – This participant is not shared with your agency</t>
        </is>
      </c>
      <c r="I16" s="17" t="inlineStr">
        <is>
          <t>Passed</t>
        </is>
      </c>
    </row>
    <row r="17">
      <c r="A17" s="16" t="inlineStr">
        <is>
          <t>API run RIR5X2</t>
        </is>
      </c>
      <c r="B17" s="16" t="inlineStr">
        <is>
          <t>2026-10-02 22:13:48 UTC</t>
        </is>
      </c>
      <c r="C17" s="16" t="inlineStr">
        <is>
          <t>iorta TechNXT QA (API run)</t>
        </is>
      </c>
      <c r="D17" s="16" t="inlineStr">
        <is>
          <t>EX-016 – Participant update goes through approval; empty and duplicate requests are refused</t>
        </is>
      </c>
      <c r="E17" s="16" t="inlineStr">
        <is>
          <t>ag-000001</t>
        </is>
      </c>
      <c r="F17" s="16" t="inlineStr">
        <is>
          <t>POST /api/v1/portal/participants/6558a123-ebc2-4cd2-878e-79354f702c6b/update-requests (empty; changed mobile; another change)</t>
        </is>
      </c>
      <c r="G17" s="16" t="inlineStr">
        <is>
          <t>Empty body → 422 NO_CHANGES; a change → 201 approval request (PARTICIPANT_UPDATE, PENDING) with before/after values; a second request while one is pending → 422 REQUEST_ALREADY_PENDING</t>
        </is>
      </c>
      <c r="H17" s="16" t="inlineStr">
        <is>
          <t>422 NO_CHANGES – No changes were submitted | 201 PARTICIPANT_UPDATE PENDING before={"mobile":"6738111222","addressLine2":null} | 422 REQUEST_ALREADY_PENDING – A request for this record is already awaiting approval</t>
        </is>
      </c>
      <c r="I17" s="17" t="inlineStr">
        <is>
          <t>Passed</t>
        </is>
      </c>
    </row>
    <row r="18">
      <c r="A18" s="16" t="inlineStr">
        <is>
          <t>API run RIR5X2</t>
        </is>
      </c>
      <c r="B18" s="16" t="inlineStr">
        <is>
          <t>2026-10-02 22:13:48 UTC</t>
        </is>
      </c>
      <c r="C18" s="16" t="inlineStr">
        <is>
          <t>iorta TechNXT QA (API run)</t>
        </is>
      </c>
      <c r="D18" s="16" t="inlineStr">
        <is>
          <t>EX-017 – Maker sees and withdraws their own pending request</t>
        </is>
      </c>
      <c r="E18" s="16" t="inlineStr">
        <is>
          <t>ag-000001</t>
        </is>
      </c>
      <c r="F18" s="16" t="inlineStr">
        <is>
          <t>GET /api/v1/portal/requests; POST /api/v1/portal/requests/{id}/withdraw</t>
        </is>
      </c>
      <c r="G18" s="16" t="inlineStr">
        <is>
          <t>GET /portal/requests lists the request; POST withdraw returns 200 with status WITHDRAWN</t>
        </is>
      </c>
      <c r="H18" s="16" t="inlineStr">
        <is>
          <t>listed=true | 200 WITHDRAWN</t>
        </is>
      </c>
      <c r="I18" s="17" t="inlineStr">
        <is>
          <t>Passed</t>
        </is>
      </c>
    </row>
    <row r="19">
      <c r="A19" s="16" t="inlineStr">
        <is>
          <t>API run RIR5X2</t>
        </is>
      </c>
      <c r="B19" s="16" t="inlineStr">
        <is>
          <t>2026-10-02 22:13:48 UTC</t>
        </is>
      </c>
      <c r="C19" s="16" t="inlineStr">
        <is>
          <t>iorta TechNXT QA (API run)</t>
        </is>
      </c>
      <c r="D19" s="16" t="inlineStr">
        <is>
          <t>EX-020 – Product catalogue lists the seven IIFT products with their rules</t>
        </is>
      </c>
      <c r="E19" s="16" t="inlineStr">
        <is>
          <t>ag-000001</t>
        </is>
      </c>
      <c r="F19" s="16" t="inlineStr">
        <is>
          <t>GET /api/v1/common/products</t>
        </is>
      </c>
      <c r="G19" s="16" t="inlineStr">
        <is>
          <t>HTTP 200 with FTP-HP, FTP-NP, PFT, PHA, PRO, KHR, OSA; KHR has allowRenewal=false; PRO/KHR/OSA/PHA pay before issuance</t>
        </is>
      </c>
      <c r="H19" s="16" t="inlineStr">
        <is>
          <t>FTP-HP,FTP-NP,KHR,OSA,PFT,PHA,PRO; KHR.allowRenewal=false; PRO.paymentBeforeIssuance=true</t>
        </is>
      </c>
      <c r="I19" s="17" t="inlineStr">
        <is>
          <t>Passed</t>
        </is>
      </c>
    </row>
    <row r="20">
      <c r="A20" s="16" t="inlineStr">
        <is>
          <t>API run RIR5X2</t>
        </is>
      </c>
      <c r="B20" s="16" t="inlineStr">
        <is>
          <t>2026-10-02 22:13:48 UTC</t>
        </is>
      </c>
      <c r="C20" s="16" t="inlineStr">
        <is>
          <t>iorta TechNXT QA (API run)</t>
        </is>
      </c>
      <c r="D20" s="16" t="inlineStr">
        <is>
          <t>EX-021 – Professional Plan B with additional cover is rated 135 + 120</t>
        </is>
      </c>
      <c r="E20" s="16" t="inlineStr">
        <is>
          <t>ag-000001</t>
        </is>
      </c>
      <c r="F20" s="16" t="inlineStr">
        <is>
          <t>POST /api/v1/portal/policies/calculate (PRO, plan B, additional cover)</t>
        </is>
      </c>
      <c r="G20" s="16" t="inlineStr">
        <is>
          <t>contribution 255.00, sumCovered 30,000</t>
        </is>
      </c>
      <c r="H20" s="16" t="inlineStr">
        <is>
          <t>200 contribution=255 sumCovered=30000</t>
        </is>
      </c>
      <c r="I20" s="17" t="inlineStr">
        <is>
          <t>Passed</t>
        </is>
      </c>
    </row>
    <row r="21">
      <c r="A21" s="16" t="inlineStr">
        <is>
          <t>API run RIR5X2</t>
        </is>
      </c>
      <c r="B21" s="16" t="inlineStr">
        <is>
          <t>2026-10-02 22:13:48 UTC</t>
        </is>
      </c>
      <c r="C21" s="16" t="inlineStr">
        <is>
          <t>iorta TechNXT QA (API run)</t>
        </is>
      </c>
      <c r="D21" s="16" t="inlineStr">
        <is>
          <t>EX-022 – Khairat Plan A with Wider (Child) cover applies the 1.6 loading</t>
        </is>
      </c>
      <c r="E21" s="16" t="inlineStr">
        <is>
          <t>ag-000001</t>
        </is>
      </c>
      <c r="F21" s="16" t="inlineStr">
        <is>
          <t>POST /api/v1/portal/policies/calculate (KHR, plan A, WIDER)</t>
        </is>
      </c>
      <c r="G21" s="16" t="inlineStr">
        <is>
          <t>contribution 64.00 (40 × 1.6)</t>
        </is>
      </c>
      <c r="H21" s="16" t="inlineStr">
        <is>
          <t>200 contribution=64</t>
        </is>
      </c>
      <c r="I21" s="17" t="inlineStr">
        <is>
          <t>Passed</t>
        </is>
      </c>
    </row>
    <row r="22">
      <c r="A22" s="16" t="inlineStr">
        <is>
          <t>API run RIR5X2</t>
        </is>
      </c>
      <c r="B22" s="16" t="inlineStr">
        <is>
          <t>2026-10-02 22:13:48 UTC</t>
        </is>
      </c>
      <c r="C22" s="16" t="inlineStr">
        <is>
          <t>iorta TechNXT QA (API run)</t>
        </is>
      </c>
      <c r="D22" s="16" t="inlineStr">
        <is>
          <t>EX-023 – Personal Home Assistant two-year cover</t>
        </is>
      </c>
      <c r="E22" s="16" t="inlineStr">
        <is>
          <t>ag-000001</t>
        </is>
      </c>
      <c r="F22" s="16" t="inlineStr">
        <is>
          <t>POST /api/v1/portal/policies/calculate (PHA, 24 months)</t>
        </is>
      </c>
      <c r="G22" s="16" t="inlineStr">
        <is>
          <t>contribution 220.00 for 24 months</t>
        </is>
      </c>
      <c r="H22" s="16" t="inlineStr">
        <is>
          <t xml:space="preserve">200 contribution=220 </t>
        </is>
      </c>
      <c r="I22" s="17" t="inlineStr">
        <is>
          <t>Passed</t>
        </is>
      </c>
    </row>
    <row r="23">
      <c r="A23" s="16" t="inlineStr">
        <is>
          <t>API run RIR5X2</t>
        </is>
      </c>
      <c r="B23" s="16" t="inlineStr">
        <is>
          <t>2026-10-02 22:13:48 UTC</t>
        </is>
      </c>
      <c r="C23" s="16" t="inlineStr">
        <is>
          <t>iorta TechNXT QA (API run)</t>
        </is>
      </c>
      <c r="D23" s="16" t="inlineStr">
        <is>
          <t>EX-024 – Overseas Student Assist refuses a participant who is not a Brunei citizen</t>
        </is>
      </c>
      <c r="E23" s="16" t="inlineStr">
        <is>
          <t>ag-000001</t>
        </is>
      </c>
      <c r="F23" s="16" t="inlineStr">
        <is>
          <t>POST /api/v1/portal/policies/calculate (OSA, Malaysian participant)</t>
        </is>
      </c>
      <c r="G23" s="16" t="inlineStr">
        <is>
          <t>HTTP 422 NOT_ELIGIBLE</t>
        </is>
      </c>
      <c r="H23" s="16" t="inlineStr">
        <is>
          <t>422 NOT_ELIGIBLE – The quotation does not meet the product rules [Only brunei nationals are eligible]</t>
        </is>
      </c>
      <c r="I23" s="17" t="inlineStr">
        <is>
          <t>Passed</t>
        </is>
      </c>
    </row>
    <row r="24">
      <c r="A24" s="16" t="inlineStr">
        <is>
          <t>API run RIR5X2</t>
        </is>
      </c>
      <c r="B24" s="16" t="inlineStr">
        <is>
          <t>2026-10-02 22:13:48 UTC</t>
        </is>
      </c>
      <c r="C24" s="16" t="inlineStr">
        <is>
          <t>iorta TechNXT QA (API run)</t>
        </is>
      </c>
      <c r="D24" s="16" t="inlineStr">
        <is>
          <t>EX-025 – Professional Plan accepts Occupational Class I only</t>
        </is>
      </c>
      <c r="E24" s="16" t="inlineStr">
        <is>
          <t>ag-000001</t>
        </is>
      </c>
      <c r="F24" s="16" t="inlineStr">
        <is>
          <t>POST /api/v1/portal/policies/calculate (PRO, occupation class 3)</t>
        </is>
      </c>
      <c r="G24" s="16" t="inlineStr">
        <is>
          <t>HTTP 422 NOT_ELIGIBLE for a class 3 participant</t>
        </is>
      </c>
      <c r="H24" s="16" t="inlineStr">
        <is>
          <t>422 NOT_ELIGIBLE – The quotation does not meet the product rules [Only occupational class 1 is eligible]</t>
        </is>
      </c>
      <c r="I24" s="17" t="inlineStr">
        <is>
          <t>Passed</t>
        </is>
      </c>
    </row>
    <row r="25">
      <c r="A25" s="16" t="inlineStr">
        <is>
          <t>API run RIR5X2</t>
        </is>
      </c>
      <c r="B25" s="16" t="inlineStr">
        <is>
          <t>2026-10-02 22:13:48 UTC</t>
        </is>
      </c>
      <c r="C25" s="16" t="inlineStr">
        <is>
          <t>iorta TechNXT QA (API run)</t>
        </is>
      </c>
      <c r="D25" s="16" t="inlineStr">
        <is>
          <t>EX-026 – Hire purchase financing above B$150,000 is referred; at the limit it is not</t>
        </is>
      </c>
      <c r="E25" s="16" t="inlineStr">
        <is>
          <t>ag-000001</t>
        </is>
      </c>
      <c r="F25" s="16" t="inlineStr">
        <is>
          <t>POST /api/v1/portal/policies/calculate (FTP-HP 200,000; 150,000)</t>
        </is>
      </c>
      <c r="G25" s="16" t="inlineStr">
        <is>
          <t>200 with a high-risk referral reason for 200,000; 200 without referral reasons for 150,000</t>
        </is>
      </c>
      <c r="H25" s="16" t="inlineStr">
        <is>
          <t>200 referral=["Financing amount B$200,000 exceeds the high-risk limit of B$150,000 – refer to IIFT Sales team"] | 200 referral=[]</t>
        </is>
      </c>
      <c r="I25" s="17" t="inlineStr">
        <is>
          <t>Passed</t>
        </is>
      </c>
    </row>
    <row r="26">
      <c r="A26" s="16" t="inlineStr">
        <is>
          <t>API run RIR5X2</t>
        </is>
      </c>
      <c r="B26" s="16" t="inlineStr">
        <is>
          <t>2026-10-02 22:13:48 UTC</t>
        </is>
      </c>
      <c r="C26" s="16" t="inlineStr">
        <is>
          <t>iorta TechNXT QA (API run)</t>
        </is>
      </c>
      <c r="D26" s="16" t="inlineStr">
        <is>
          <t>EX-027 – Financing quotation lists every missing risk field at once</t>
        </is>
      </c>
      <c r="E26" s="16" t="inlineStr">
        <is>
          <t>ag-000001</t>
        </is>
      </c>
      <c r="F26" s="16" t="inlineStr">
        <is>
          <t>POST /api/v1/portal/policies/calculate (FTP-NP, empty risk details)</t>
        </is>
      </c>
      <c r="G26" s="16" t="inlineStr">
        <is>
          <t>HTTP 422 naming financingAmount, tenureMonths, profitRatePercent, financierName and financingReference</t>
        </is>
      </c>
      <c r="H26" s="16" t="inlineStr">
        <is>
          <t>422 NOT_ELIGIBLE – The quotation does not meet the product rules [Personal financing amount (B$) is required; Financing period (months) is required; Profit rate of financing (% p.a.) is required; Financier is required; Financing agreement / approval reference is required]</t>
        </is>
      </c>
      <c r="I26" s="17" t="inlineStr">
        <is>
          <t>Passed</t>
        </is>
      </c>
    </row>
    <row r="27">
      <c r="A27" s="16" t="inlineStr">
        <is>
          <t>API run RIR5X2</t>
        </is>
      </c>
      <c r="B27" s="16" t="inlineStr">
        <is>
          <t>2026-10-02 22:13:48 UTC</t>
        </is>
      </c>
      <c r="C27" s="16" t="inlineStr">
        <is>
          <t>iorta TechNXT QA (API run)</t>
        </is>
      </c>
      <c r="D27" s="16" t="inlineStr">
        <is>
          <t>EX-028 – Cover that would run past the maximum age at expiry is refused</t>
        </is>
      </c>
      <c r="E27" s="16" t="inlineStr">
        <is>
          <t>ag-000001</t>
        </is>
      </c>
      <c r="F27" s="16" t="inlineStr">
        <is>
          <t>POST /api/v1/portal/policies/calculate (FTP-HP, age 64, 108 months)</t>
        </is>
      </c>
      <c r="G27" s="16" t="inlineStr">
        <is>
          <t>HTTP 422 NOT_ELIGIBLE for a 64-year-old with a 108-month hire purchase (max age at expiry 70)</t>
        </is>
      </c>
      <c r="H27" s="16" t="inlineStr">
        <is>
          <t>422 NOT_ELIGIBLE – The quotation does not meet the product rules [Cover must end by age 70; reduce the tenure]</t>
        </is>
      </c>
      <c r="I27" s="17" t="inlineStr">
        <is>
          <t>Passed</t>
        </is>
      </c>
    </row>
    <row r="28">
      <c r="A28" s="16" t="inlineStr">
        <is>
          <t>API run RIR5X2</t>
        </is>
      </c>
      <c r="B28" s="16" t="inlineStr">
        <is>
          <t>2026-10-02 22:13:48 UTC</t>
        </is>
      </c>
      <c r="C28" s="16" t="inlineStr">
        <is>
          <t>iorta TechNXT QA (API run)</t>
        </is>
      </c>
      <c r="D28" s="16" t="inlineStr">
        <is>
          <t>EX-030 – Create a quotation and save it as draft</t>
        </is>
      </c>
      <c r="E28" s="16" t="inlineStr">
        <is>
          <t>ag-000001</t>
        </is>
      </c>
      <c r="F28" s="16" t="inlineStr">
        <is>
          <t>POST /api/v1/portal/policies (PRO plan B + additional cover)</t>
        </is>
      </c>
      <c r="G28" s="16" t="inlineStr">
        <is>
          <t>HTTP 201; status DRAFT; quotationNo QT/yy/nnnnnn; contribution 255</t>
        </is>
      </c>
      <c r="H28" s="16" t="inlineStr">
        <is>
          <t>201 QT/26/000076 DRAFT contribution=255</t>
        </is>
      </c>
      <c r="I28" s="17" t="inlineStr">
        <is>
          <t>Passed</t>
        </is>
      </c>
    </row>
    <row r="29">
      <c r="A29" s="16" t="inlineStr">
        <is>
          <t>API run RIR5X2</t>
        </is>
      </c>
      <c r="B29" s="16" t="inlineStr">
        <is>
          <t>2026-10-02 22:13:48 UTC</t>
        </is>
      </c>
      <c r="C29" s="16" t="inlineStr">
        <is>
          <t>iorta TechNXT QA (API run)</t>
        </is>
      </c>
      <c r="D29" s="16" t="inlineStr">
        <is>
          <t>EX-031 – Submission is blocked while the questionnaire is incomplete</t>
        </is>
      </c>
      <c r="E29" s="16" t="inlineStr">
        <is>
          <t>ag-000001</t>
        </is>
      </c>
      <c r="F29" s="16" t="inlineStr">
        <is>
          <t>POST /api/v1/portal/policies/f16fde6b-2488-470c-a7fd-a0d20332c6bb/submit</t>
        </is>
      </c>
      <c r="G29" s="16" t="inlineStr">
        <is>
          <t>HTTP 422 QUESTIONNAIRE_INCOMPLETE</t>
        </is>
      </c>
      <c r="H29" s="16" t="inlineStr">
        <is>
          <t>422 QUESTIONNAIRE_INCOMPLETE – The questionnaire is incomplete [Please answer: Are you currently suffering from any illness or medical condition, or receiving medical treatment?; Please answer: In the past 5 years, have you been hospitalised or advised to undergo surgery?; Please answer: Has any tak</t>
        </is>
      </c>
      <c r="I29" s="17" t="inlineStr">
        <is>
          <t>Passed</t>
        </is>
      </c>
    </row>
    <row r="30">
      <c r="A30" s="16" t="inlineStr">
        <is>
          <t>API run RIR5X2</t>
        </is>
      </c>
      <c r="B30" s="16" t="inlineStr">
        <is>
          <t>2026-10-02 22:13:48 UTC</t>
        </is>
      </c>
      <c r="C30" s="16" t="inlineStr">
        <is>
          <t>iorta TechNXT QA (API run)</t>
        </is>
      </c>
      <c r="D30" s="16" t="inlineStr">
        <is>
          <t>EX-032 – A "yes" declaration requires details</t>
        </is>
      </c>
      <c r="E30" s="16" t="inlineStr">
        <is>
          <t>ag-000001</t>
        </is>
      </c>
      <c r="F30" s="16" t="inlineStr">
        <is>
          <t>PUT /api/v1/portal/policies/f16fde6b-2488-470c-a7fd-a0d20332c6bb/questionnaire (yes without details)</t>
        </is>
      </c>
      <c r="G30" s="16" t="inlineStr">
        <is>
          <t>HTTP 422 QUESTIONNAIRE_INCOMPLETE asking for details</t>
        </is>
      </c>
      <c r="H30" s="16" t="inlineStr">
        <is>
          <t>422 QUESTIONNAIRE_INCOMPLETE – The questionnaire is incomplete [Please give details for: Are you currently suffering from any illness or medical condition, or receiving medical treatment?]</t>
        </is>
      </c>
      <c r="I30" s="17" t="inlineStr">
        <is>
          <t>Passed</t>
        </is>
      </c>
    </row>
    <row r="31">
      <c r="A31" s="16" t="inlineStr">
        <is>
          <t>API run RIR5X2</t>
        </is>
      </c>
      <c r="B31" s="16" t="inlineStr">
        <is>
          <t>2026-10-02 22:13:48 UTC</t>
        </is>
      </c>
      <c r="C31" s="16" t="inlineStr">
        <is>
          <t>iorta TechNXT QA (API run)</t>
        </is>
      </c>
      <c r="D31" s="16" t="inlineStr">
        <is>
          <t>EX-033 – Completed questionnaire is saved</t>
        </is>
      </c>
      <c r="E31" s="16" t="inlineStr">
        <is>
          <t>ag-000001</t>
        </is>
      </c>
      <c r="F31" s="16" t="inlineStr">
        <is>
          <t>PUT /api/v1/portal/policies/f16fde6b-2488-470c-a7fd-a0d20332c6bb/questionnaire (all no)</t>
        </is>
      </c>
      <c r="G31" s="16" t="inlineStr">
        <is>
          <t>HTTP 200</t>
        </is>
      </c>
      <c r="H31" s="16" t="inlineStr">
        <is>
          <t>200 DRAFT</t>
        </is>
      </c>
      <c r="I31" s="17" t="inlineStr">
        <is>
          <t>Passed</t>
        </is>
      </c>
    </row>
    <row r="32">
      <c r="A32" s="16" t="inlineStr">
        <is>
          <t>API run RIR5X2</t>
        </is>
      </c>
      <c r="B32" s="16" t="inlineStr">
        <is>
          <t>2026-10-02 22:13:48 UTC</t>
        </is>
      </c>
      <c r="C32" s="16" t="inlineStr">
        <is>
          <t>iorta TechNXT QA (API run)</t>
        </is>
      </c>
      <c r="D32" s="16" t="inlineStr">
        <is>
          <t>EX-034 – Nominee shares must total 100%</t>
        </is>
      </c>
      <c r="E32" s="16" t="inlineStr">
        <is>
          <t>ag-000001</t>
        </is>
      </c>
      <c r="F32" s="16" t="inlineStr">
        <is>
          <t>PUT /api/v1/portal/policies/f16fde6b-2488-470c-a7fd-a0d20332c6bb/nominees (60%; 100%)</t>
        </is>
      </c>
      <c r="G32" s="16" t="inlineStr">
        <is>
          <t>HTTP 422 INVALID_SHARES for 60%; 200 for 100%</t>
        </is>
      </c>
      <c r="H32" s="16" t="inlineStr">
        <is>
          <t>422 INVALID_SHARES – Nominee shares must add up to 100% (currently 60.00%) | 200</t>
        </is>
      </c>
      <c r="I32" s="17" t="inlineStr">
        <is>
          <t>Passed</t>
        </is>
      </c>
    </row>
    <row r="33">
      <c r="A33" s="16" t="inlineStr">
        <is>
          <t>API run RIR5X2</t>
        </is>
      </c>
      <c r="B33" s="16" t="inlineStr">
        <is>
          <t>2026-10-02 22:13:48 UTC</t>
        </is>
      </c>
      <c r="C33" s="16" t="inlineStr">
        <is>
          <t>iorta TechNXT QA (API run)</t>
        </is>
      </c>
      <c r="D33" s="16" t="inlineStr">
        <is>
          <t>EX-035 – Submission lists the missing documents and signature</t>
        </is>
      </c>
      <c r="E33" s="16" t="inlineStr">
        <is>
          <t>ag-000001</t>
        </is>
      </c>
      <c r="F33" s="16" t="inlineStr">
        <is>
          <t>POST /api/v1/portal/policies/f16fde6b-2488-470c-a7fd-a0d20332c6bb/submit</t>
        </is>
      </c>
      <c r="G33" s="16" t="inlineStr">
        <is>
          <t>HTTP 422 SUBMISSION_INCOMPLETE with "Upload: IC copy", nominee IC and participant signature</t>
        </is>
      </c>
      <c r="H33" s="16" t="inlineStr">
        <is>
          <t>422 SUBMISSION_INCOMPLETE – The application is not ready for submission [Upload: IC copy; Upload: IC copy of nominee(s), beneficiary or executor; Participant signature is required (sign on screen, send an e-signature link or upload the signed proposal form)]</t>
        </is>
      </c>
      <c r="I33" s="17" t="inlineStr">
        <is>
          <t>Passed</t>
        </is>
      </c>
    </row>
    <row r="34">
      <c r="A34" s="16" t="inlineStr">
        <is>
          <t>API run RIR5X2</t>
        </is>
      </c>
      <c r="B34" s="16" t="inlineStr">
        <is>
          <t>2026-10-02 22:13:48 UTC</t>
        </is>
      </c>
      <c r="C34" s="16" t="inlineStr">
        <is>
          <t>iorta TechNXT QA (API run)</t>
        </is>
      </c>
      <c r="D34" s="16" t="inlineStr">
        <is>
          <t>EX-036 – Disguised executable is refused; PDF documents are accepted</t>
        </is>
      </c>
      <c r="E34" s="16" t="inlineStr">
        <is>
          <t>ag-000001</t>
        </is>
      </c>
      <c r="F34" s="16" t="inlineStr">
        <is>
          <t>POST /api/v1/common/documents (ownerType POLICY)</t>
        </is>
      </c>
      <c r="G34" s="16" t="inlineStr">
        <is>
          <t>HTTP 422 FILE_TYPE_NOT_ALLOWED for "ic.pdf" with MZ content; 201 for the IC and nominee IC copies</t>
        </is>
      </c>
      <c r="H34" s="16" t="inlineStr">
        <is>
          <t>422 FILE_TYPE_NOT_ALLOWED – Only PDF, PNG and JPEG files are accepted | 201 | 201</t>
        </is>
      </c>
      <c r="I34" s="17" t="inlineStr">
        <is>
          <t>Passed</t>
        </is>
      </c>
    </row>
    <row r="35">
      <c r="A35" s="16" t="inlineStr">
        <is>
          <t>API run RIR5X2</t>
        </is>
      </c>
      <c r="B35" s="16" t="inlineStr">
        <is>
          <t>2026-10-02 22:13:49 UTC</t>
        </is>
      </c>
      <c r="C35" s="16" t="inlineStr">
        <is>
          <t>iorta TechNXT QA (API run)</t>
        </is>
      </c>
      <c r="D35" s="16" t="inlineStr">
        <is>
          <t>EX-037 – E-signature link is sent to the participant and an invalid public token reveals nothing</t>
        </is>
      </c>
      <c r="E35" s="16" t="inlineStr">
        <is>
          <t>ag-000001, anonymous</t>
        </is>
      </c>
      <c r="F35" s="16" t="inlineStr">
        <is>
          <t>POST /api/v1/portal/policies/f16fde6b-2488-470c-a7fd-a0d20332c6bb/signatures/link; GET /api/v1/public/esign/{unknown}</t>
        </is>
      </c>
      <c r="G35" s="16" t="inlineStr">
        <is>
          <t>HTTP 200/201 with sentTo and expiresAt about 72 hours ahead; GET /public/esign/{bad token} returns 404 or 422 without policy data</t>
        </is>
      </c>
      <c r="H35" s="16" t="inlineStr">
        <is>
          <t>200 sentTo=hidayah@mail.example in 72.0 h | 422 LINK_INVALID – This signature link is invalid, expired or has already been used | 404 NOT_FOUND – Signature request not found</t>
        </is>
      </c>
      <c r="I35" s="17" t="inlineStr">
        <is>
          <t>Passed</t>
        </is>
      </c>
    </row>
    <row r="36">
      <c r="A36" s="16" t="inlineStr">
        <is>
          <t>API run RIR5X2</t>
        </is>
      </c>
      <c r="B36" s="16" t="inlineStr">
        <is>
          <t>2026-10-02 22:13:49 UTC</t>
        </is>
      </c>
      <c r="C36" s="16" t="inlineStr">
        <is>
          <t>iorta TechNXT QA (API run)</t>
        </is>
      </c>
      <c r="D36" s="16" t="inlineStr">
        <is>
          <t>EX-038 – Participant signs on screen (PNG signature)</t>
        </is>
      </c>
      <c r="E36" s="16" t="inlineStr">
        <is>
          <t>ag-000001</t>
        </is>
      </c>
      <c r="F36" s="16" t="inlineStr">
        <is>
          <t>POST /api/v1/portal/policies/f16fde6b-2488-470c-a7fd-a0d20332c6bb/signatures</t>
        </is>
      </c>
      <c r="G36" s="16" t="inlineStr">
        <is>
          <t>HTTP 201 with a documentId; a non-PNG signature is refused with 422 INVALID_SIGNATURE</t>
        </is>
      </c>
      <c r="H36" s="16" t="inlineStr">
        <is>
          <t>422 INVALID_SIGNATURE – The signature must be a PNG image | 201 documentId=present</t>
        </is>
      </c>
      <c r="I36" s="17" t="inlineStr">
        <is>
          <t>Passed</t>
        </is>
      </c>
    </row>
    <row r="37">
      <c r="A37" s="16" t="inlineStr">
        <is>
          <t>API run RIR5X2</t>
        </is>
      </c>
      <c r="B37" s="16" t="inlineStr">
        <is>
          <t>2026-10-02 22:13:49 UTC</t>
        </is>
      </c>
      <c r="C37" s="16" t="inlineStr">
        <is>
          <t>iorta TechNXT QA (API run)</t>
        </is>
      </c>
      <c r="D37" s="16" t="inlineStr">
        <is>
          <t>EX-039 – Complete application is submitted and waits for payment</t>
        </is>
      </c>
      <c r="E37" s="16" t="inlineStr">
        <is>
          <t>ag-000001</t>
        </is>
      </c>
      <c r="F37" s="16" t="inlineStr">
        <is>
          <t>POST /api/v1/portal/policies/f16fde6b-2488-470c-a7fd-a0d20332c6bb/submit</t>
        </is>
      </c>
      <c r="G37" s="16" t="inlineStr">
        <is>
          <t>HTTP 200; status PENDING_PAYMENT (pay-before-issuance product, no referral)</t>
        </is>
      </c>
      <c r="H37" s="16" t="inlineStr">
        <is>
          <t>200 PENDING_PAYMENT</t>
        </is>
      </c>
      <c r="I37" s="17" t="inlineStr">
        <is>
          <t>Passed</t>
        </is>
      </c>
    </row>
    <row r="38">
      <c r="A38" s="16" t="inlineStr">
        <is>
          <t>API run RIR5X2</t>
        </is>
      </c>
      <c r="B38" s="16" t="inlineStr">
        <is>
          <t>2026-10-02 22:13:49 UTC</t>
        </is>
      </c>
      <c r="C38" s="16" t="inlineStr">
        <is>
          <t>iorta TechNXT QA (API run)</t>
        </is>
      </c>
      <c r="D38" s="16" t="inlineStr">
        <is>
          <t>EX-040 – Payment rules: future date, missing proof and wrong amount are refused</t>
        </is>
      </c>
      <c r="E38" s="16" t="inlineStr">
        <is>
          <t>ag-000001</t>
        </is>
      </c>
      <c r="F38" s="16" t="inlineStr">
        <is>
          <t>POST /api/v1/portal/billing/payments (future date; no proof; amount 999)</t>
        </is>
      </c>
      <c r="G38" s="16" t="inlineStr">
        <is>
          <t>HTTP 422 INVALID_DATE; 422 PROOF_REQUIRED; 422 INVALID_ALLOCATION</t>
        </is>
      </c>
      <c r="H38" s="16" t="inlineStr">
        <is>
          <t>422 INVALID_DATE – Payment date cannot be in the future | 422 PROOF_REQUIRED – Please attach the proof of payment | 422 INVALID_ALLOCATION – The payment cannot be accepted [QT/26/000076: amount exceeds the outstanding B$ 255.00]</t>
        </is>
      </c>
      <c r="I38" s="17" t="inlineStr">
        <is>
          <t>Passed</t>
        </is>
      </c>
    </row>
    <row r="39">
      <c r="A39" s="16" t="inlineStr">
        <is>
          <t>API run RIR5X2</t>
        </is>
      </c>
      <c r="B39" s="16" t="inlineStr">
        <is>
          <t>2026-10-02 22:13:49 UTC</t>
        </is>
      </c>
      <c r="C39" s="16" t="inlineStr">
        <is>
          <t>iorta TechNXT QA (API run)</t>
        </is>
      </c>
      <c r="D39" s="16" t="inlineStr">
        <is>
          <t>EX-041 – Payment with proof is accepted and routed for verification</t>
        </is>
      </c>
      <c r="E39" s="16" t="inlineStr">
        <is>
          <t>ag-000001</t>
        </is>
      </c>
      <c r="F39" s="16" t="inlineStr">
        <is>
          <t>POST /api/v1/portal/billing/payments (255.00 with PDF proof)</t>
        </is>
      </c>
      <c r="G39" s="16" t="inlineStr">
        <is>
          <t>HTTP 201; status PENDING_VERIFICATION; policy paymentStatus PENDING_VERIFICATION</t>
        </is>
      </c>
      <c r="H39" s="16" t="inlineStr">
        <is>
          <t>201 PENDING_VERIFICATION | policy paymentStatus=PENDING_VERIFICATION</t>
        </is>
      </c>
      <c r="I39" s="17" t="inlineStr">
        <is>
          <t>Passed</t>
        </is>
      </c>
    </row>
    <row r="40">
      <c r="A40" s="16" t="inlineStr">
        <is>
          <t>API run RIR5X2</t>
        </is>
      </c>
      <c r="B40" s="16" t="inlineStr">
        <is>
          <t>2026-10-02 22:13:49 UTC</t>
        </is>
      </c>
      <c r="C40" s="16" t="inlineStr">
        <is>
          <t>iorta TechNXT QA (API run)</t>
        </is>
      </c>
      <c r="D40" s="16" t="inlineStr">
        <is>
          <t>EX-042 – Only Finance can verify a payment; rejection needs remarks</t>
        </is>
      </c>
      <c r="E40" s="16" t="inlineStr">
        <is>
          <t>ops.maker, finance</t>
        </is>
      </c>
      <c r="F40" s="16" t="inlineStr">
        <is>
          <t>GET /api/v1/backoffice/approvals/inbox; POST approvals/06506b00-9ead-447a-93ae-f9605166189c/approve (ops.maker); POST reject (finance, empty remarks)</t>
        </is>
      </c>
      <c r="G40" s="16" t="inlineStr">
        <is>
          <t>ops.maker approve → 403; finance reject with empty remarks → 400; request is in the Finance inbox</t>
        </is>
      </c>
      <c r="H40" s="16" t="inlineStr">
        <is>
          <t>inbox has request: true | 403 FORBIDDEN – You are not an approver for this step | 400 BAD_REQUEST – Some fields are invalid [remarks must be longer than or equal to 3 characters]</t>
        </is>
      </c>
      <c r="I40" s="17" t="inlineStr">
        <is>
          <t>Passed</t>
        </is>
      </c>
    </row>
    <row r="41">
      <c r="A41" s="16" t="inlineStr">
        <is>
          <t>API run RIR5X2</t>
        </is>
      </c>
      <c r="B41" s="16" t="inlineStr">
        <is>
          <t>2026-10-02 22:13:49 UTC</t>
        </is>
      </c>
      <c r="C41" s="16" t="inlineStr">
        <is>
          <t>iorta TechNXT QA (API run)</t>
        </is>
      </c>
      <c r="D41" s="16" t="inlineStr">
        <is>
          <t>EX-043 – Finance verifies the payment: policy issued with e-Policy, e-Receipt and FIN messages</t>
        </is>
      </c>
      <c r="E41" s="16" t="inlineStr">
        <is>
          <t>finance</t>
        </is>
      </c>
      <c r="F41" s="16" t="inlineStr">
        <is>
          <t>POST /api/v1/backoffice/approvals/06506b00-9ead-447a-93ae-f9605166189c/approve; GET /api/v1/portal/policies/f16fde6b-2488-470c-a7fd-a0d20332c6bb</t>
        </is>
      </c>
      <c r="G41" s="16" t="inlineStr">
        <is>
          <t>HTTP 200; policy ACTIVE and PAID; policyNo PRO/yy/nnnnnn; one receipt; POLICY_SCHEDULE and RECEIPT documents</t>
        </is>
      </c>
      <c r="H41" s="16" t="inlineStr">
        <is>
          <t>200 | ACTIVE PAID PRO/26/000058 receipts=1 docs=POLICY_SCHEDULE,RECEIPT,SIGNATURE_PARTICIPANT,NOMINEE_IC,IC_COPY</t>
        </is>
      </c>
      <c r="I41" s="17" t="inlineStr">
        <is>
          <t>Passed</t>
        </is>
      </c>
    </row>
    <row r="42">
      <c r="A42" s="16" t="inlineStr">
        <is>
          <t>API run RIR5X2</t>
        </is>
      </c>
      <c r="B42" s="16" t="inlineStr">
        <is>
          <t>2026-10-02 22:13:49 UTC</t>
        </is>
      </c>
      <c r="C42" s="16" t="inlineStr">
        <is>
          <t>iorta TechNXT QA (API run)</t>
        </is>
      </c>
      <c r="D42" s="16" t="inlineStr">
        <is>
          <t>EX-044 – Policy schedule downloads as a PDF</t>
        </is>
      </c>
      <c r="E42" s="16" t="inlineStr">
        <is>
          <t>ag-000001</t>
        </is>
      </c>
      <c r="F42" s="16" t="inlineStr">
        <is>
          <t>GET /api/v1/common/documents/da5a288e-f761-41f8-8f81-b7fafc3f1942/content</t>
        </is>
      </c>
      <c r="G42" s="16" t="inlineStr">
        <is>
          <t>HTTP 200, content-type application/pdf, body starts with %PDF-</t>
        </is>
      </c>
      <c r="H42" s="16" t="inlineStr">
        <is>
          <t>200 application/pdf %PDF-</t>
        </is>
      </c>
      <c r="I42" s="17" t="inlineStr">
        <is>
          <t>Passed</t>
        </is>
      </c>
    </row>
    <row r="43">
      <c r="A43" s="16" t="inlineStr">
        <is>
          <t>API run RIR5X2</t>
        </is>
      </c>
      <c r="B43" s="16" t="inlineStr">
        <is>
          <t>2026-10-02 22:13:49 UTC</t>
        </is>
      </c>
      <c r="C43" s="16" t="inlineStr">
        <is>
          <t>iorta TechNXT QA (API run)</t>
        </is>
      </c>
      <c r="D43" s="16" t="inlineStr">
        <is>
          <t>EX-045 – Policy history records every step and the approval trail</t>
        </is>
      </c>
      <c r="E43" s="16" t="inlineStr">
        <is>
          <t>ag-000001</t>
        </is>
      </c>
      <c r="F43" s="16" t="inlineStr">
        <is>
          <t>GET /api/v1/portal/policies/f16fde6b-2488-470c-a7fd-a0d20332c6bb (events)</t>
        </is>
      </c>
      <c r="G43" s="16" t="inlineStr">
        <is>
          <t>Detail shows events SUBMITTED, ISSUED (or PAYMENT_VERIFIED) and the payment verification request</t>
        </is>
      </c>
      <c r="H43" s="16" t="inlineStr">
        <is>
          <t>events=QUOTATION_CREATED,ESIGN_LINK_SENT,PARTICIPANT_SIGNED,SUBMITTED,AWAITING_PAYMENT,PAYMENT_SUBMITTED,PAYMENT_APPLIED,ISSUED; approval history entries=0</t>
        </is>
      </c>
      <c r="I43" s="17" t="inlineStr">
        <is>
          <t>Passed</t>
        </is>
      </c>
    </row>
    <row r="44">
      <c r="A44" s="16" t="inlineStr">
        <is>
          <t>API run RIR5X2</t>
        </is>
      </c>
      <c r="B44" s="16" t="inlineStr">
        <is>
          <t>2026-10-02 22:13:49 UTC</t>
        </is>
      </c>
      <c r="C44" s="16" t="inlineStr">
        <is>
          <t>iorta TechNXT QA (API run)</t>
        </is>
      </c>
      <c r="D44" s="16" t="inlineStr">
        <is>
          <t>EX-046 – Documents are e-mailed to the participant; an invalid address is refused</t>
        </is>
      </c>
      <c r="E44" s="16" t="inlineStr">
        <is>
          <t>ag-000001</t>
        </is>
      </c>
      <c r="F44" s="16" t="inlineStr">
        <is>
          <t>POST /api/v1/portal/policies/f16fde6b-2488-470c-a7fd-a0d20332c6bb/email-documents</t>
        </is>
      </c>
      <c r="G44" s="16" t="inlineStr">
        <is>
          <t>HTTP 422 EMAIL_REQUIRED for "not-an-email"; 200/201 for a valid address</t>
        </is>
      </c>
      <c r="H44" s="16" t="inlineStr">
        <is>
          <t>422 EMAIL_REQUIRED – A valid e-mail address is required | 200</t>
        </is>
      </c>
      <c r="I44" s="17" t="inlineStr">
        <is>
          <t>Passed</t>
        </is>
      </c>
    </row>
    <row r="45">
      <c r="A45" s="16" t="inlineStr">
        <is>
          <t>API run RIR5X2</t>
        </is>
      </c>
      <c r="B45" s="16" t="inlineStr">
        <is>
          <t>2026-10-02 22:13:49 UTC</t>
        </is>
      </c>
      <c r="C45" s="16" t="inlineStr">
        <is>
          <t>iorta TechNXT QA (API run)</t>
        </is>
      </c>
      <c r="D45" s="16" t="inlineStr">
        <is>
          <t>EX-047 – Issued policy is invisible to another agency and cannot be changed</t>
        </is>
      </c>
      <c r="E45" s="16" t="inlineStr">
        <is>
          <t>ag-000003, ag-000001</t>
        </is>
      </c>
      <c r="F45" s="16" t="inlineStr">
        <is>
          <t>GET /api/v1/portal/policies/f16fde6b-2488-470c-a7fd-a0d20332c6bb (ag-000003); PUT questionnaire (ag-000001)</t>
        </is>
      </c>
      <c r="G45" s="16" t="inlineStr">
        <is>
          <t>GET by another agency → 404; PUT questionnaire on an issued policy → 422 NOT_DRAFT</t>
        </is>
      </c>
      <c r="H45" s="16" t="inlineStr">
        <is>
          <t>404 NOT_FOUND – Policy not found | 422 NOT_DRAFT – Only draft quotations can be changed</t>
        </is>
      </c>
      <c r="I45" s="17" t="inlineStr">
        <is>
          <t>Passed</t>
        </is>
      </c>
    </row>
    <row r="46">
      <c r="A46" s="16" t="inlineStr">
        <is>
          <t>API run RIR5X2</t>
        </is>
      </c>
      <c r="B46" s="16" t="inlineStr">
        <is>
          <t>2026-10-02 22:13:49 UTC</t>
        </is>
      </c>
      <c r="C46" s="16" t="inlineStr">
        <is>
          <t>iorta TechNXT QA (API run)</t>
        </is>
      </c>
      <c r="D46" s="16" t="inlineStr">
        <is>
          <t>EX-048 – Policy search filters by status and treats injection text as plain text</t>
        </is>
      </c>
      <c r="E46" s="16" t="inlineStr">
        <is>
          <t>ag-000001</t>
        </is>
      </c>
      <c r="F46" s="16" t="inlineStr">
        <is>
          <t>GET /api/v1/portal/policies?status=ACTIVE; ?search=&lt;SQL&gt;; ?search=&lt;policyNo&gt;</t>
        </is>
      </c>
      <c r="G46" s="16" t="inlineStr">
        <is>
          <t>status=ACTIVE returns only active policies; search with SQL text returns 200 and an empty list</t>
        </is>
      </c>
      <c r="H46" s="16" t="inlineStr">
        <is>
          <t>200 onlyActive=true | 200 items=0 | byNo items=1</t>
        </is>
      </c>
      <c r="I46" s="17" t="inlineStr">
        <is>
          <t>Passed</t>
        </is>
      </c>
    </row>
    <row r="47">
      <c r="A47" s="16" t="inlineStr">
        <is>
          <t>API run RIR5X2</t>
        </is>
      </c>
      <c r="B47" s="16" t="inlineStr">
        <is>
          <t>2026-10-02 22:13:49 UTC</t>
        </is>
      </c>
      <c r="C47" s="16" t="inlineStr">
        <is>
          <t>iorta TechNXT QA (API run)</t>
        </is>
      </c>
      <c r="D47" s="16" t="inlineStr">
        <is>
          <t>EX-049 – Draft quotation can be discarded; discarding an issued policy is refused</t>
        </is>
      </c>
      <c r="E47" s="16" t="inlineStr">
        <is>
          <t>ag-000001</t>
        </is>
      </c>
      <c r="F47" s="16" t="inlineStr">
        <is>
          <t>POST /api/v1/portal/policies/{draft}/discard; /{issued}/discard</t>
        </is>
      </c>
      <c r="G47" s="16" t="inlineStr">
        <is>
          <t>POST discard on a new draft → 204; on the issued policy → 422 CANNOT_DISCARD</t>
        </is>
      </c>
      <c r="H47" s="16" t="inlineStr">
        <is>
          <t>204 | 422 CANNOT_DISCARD – Only unpaid quotations that have not been issued can be discarded</t>
        </is>
      </c>
      <c r="I47" s="17" t="inlineStr">
        <is>
          <t>Passed</t>
        </is>
      </c>
    </row>
    <row r="48">
      <c r="A48" s="16" t="inlineStr">
        <is>
          <t>API run RIR5X2</t>
        </is>
      </c>
      <c r="B48" s="16" t="inlineStr">
        <is>
          <t>2026-10-02 22:13:49 UTC</t>
        </is>
      </c>
      <c r="C48" s="16" t="inlineStr">
        <is>
          <t>iorta TechNXT QA (API run)</t>
        </is>
      </c>
      <c r="D48" s="16" t="inlineStr">
        <is>
          <t>EX-050 – High-risk hire purchase application is referred for underwriting</t>
        </is>
      </c>
      <c r="E48" s="16" t="inlineStr">
        <is>
          <t>ag-000001</t>
        </is>
      </c>
      <c r="F48" s="16" t="inlineStr">
        <is>
          <t>POST /api/v1/portal/policies (FTP-HP 200,000) … submit</t>
        </is>
      </c>
      <c r="G48" s="16" t="inlineStr">
        <is>
          <t>After documents, questionnaire and signature the submission returns status PENDING_APPROVAL with the high-risk and quality-check reasons</t>
        </is>
      </c>
      <c r="H48" s="16" t="inlineStr">
        <is>
          <t>200 PENDING_APPROVAL; reasons=["Financing amount B$200,000 exceeds the high-risk limit of B$150,000 – refer to IIFT Sales team","Quality check by IIFT before contract issuance"]</t>
        </is>
      </c>
      <c r="I48" s="17" t="inlineStr">
        <is>
          <t>Passed</t>
        </is>
      </c>
    </row>
    <row r="49">
      <c r="A49" s="16" t="inlineStr">
        <is>
          <t>API run RIR5X2</t>
        </is>
      </c>
      <c r="B49" s="16" t="inlineStr">
        <is>
          <t>2026-10-02 22:13:49 UTC</t>
        </is>
      </c>
      <c r="C49" s="16" t="inlineStr">
        <is>
          <t>iorta TechNXT QA (API run)</t>
        </is>
      </c>
      <c r="D49" s="16" t="inlineStr">
        <is>
          <t>EX-051 – Referral appears in the underwriter inbox; the maker cannot decide it</t>
        </is>
      </c>
      <c r="E49" s="16" t="inlineStr">
        <is>
          <t>underwriter, ag-000001</t>
        </is>
      </c>
      <c r="F49" s="16" t="inlineStr">
        <is>
          <t>GET /api/v1/backoffice/approvals/inbox (underwriter); POST approve as the agent</t>
        </is>
      </c>
      <c r="G49" s="16" t="inlineStr">
        <is>
          <t>Inbox lists a POLICY_REFERRAL request for the quotation; the agent has no back-office access (403 WRONG_AUDIENCE)</t>
        </is>
      </c>
      <c r="H49" s="16" t="inlineStr">
        <is>
          <t>request POLICY_REFERRAL PENDING | 403 WRONG_AUDIENCE – This function is not available to your account type</t>
        </is>
      </c>
      <c r="I49" s="17" t="inlineStr">
        <is>
          <t>Passed</t>
        </is>
      </c>
    </row>
    <row r="50">
      <c r="A50" s="16" t="inlineStr">
        <is>
          <t>API run RIR5X2</t>
        </is>
      </c>
      <c r="B50" s="16" t="inlineStr">
        <is>
          <t>2026-10-02 22:13:49 UTC</t>
        </is>
      </c>
      <c r="C50" s="16" t="inlineStr">
        <is>
          <t>iorta TechNXT QA (API run)</t>
        </is>
      </c>
      <c r="D50" s="16" t="inlineStr">
        <is>
          <t>EX-052 – Underwriter approves: financing policy issued immediately with a payment due date (grace period)</t>
        </is>
      </c>
      <c r="E50" s="16" t="inlineStr">
        <is>
          <t>underwriter</t>
        </is>
      </c>
      <c r="F50" s="16" t="inlineStr">
        <is>
          <t>POST /api/v1/backoffice/approvals/48e501c3-f7bf-4a6d-ad54-1e15e6a4e63b/approve</t>
        </is>
      </c>
      <c r="G50" s="16" t="inlineStr">
        <is>
          <t>HTTP 200; policy ACTIVE, paymentStatus UNPAID, paymentDueDate = today + 7 days, policyNo FTP-HP/yy/nnnnnn</t>
        </is>
      </c>
      <c r="H50" s="16" t="inlineStr">
        <is>
          <t>200 | ACTIVE UNPAID FTP-HP/26/000059 due=2026-10-10</t>
        </is>
      </c>
      <c r="I50" s="17" t="inlineStr">
        <is>
          <t>Passed</t>
        </is>
      </c>
    </row>
    <row r="51">
      <c r="A51" s="16" t="inlineStr">
        <is>
          <t>API run RIR5X2</t>
        </is>
      </c>
      <c r="B51" s="16" t="inlineStr">
        <is>
          <t>2026-10-02 22:13:49 UTC</t>
        </is>
      </c>
      <c r="C51" s="16" t="inlineStr">
        <is>
          <t>iorta TechNXT QA (API run)</t>
        </is>
      </c>
      <c r="D51" s="16" t="inlineStr">
        <is>
          <t>EX-053 – A decided request cannot be decided again</t>
        </is>
      </c>
      <c r="E51" s="16" t="inlineStr">
        <is>
          <t>underwriter</t>
        </is>
      </c>
      <c r="F51" s="16" t="inlineStr">
        <is>
          <t>POST /api/v1/backoffice/approvals/48e501c3-f7bf-4a6d-ad54-1e15e6a4e63b/reject</t>
        </is>
      </c>
      <c r="G51" s="16" t="inlineStr">
        <is>
          <t>HTTP 422 REQUEST_NOT_PENDING</t>
        </is>
      </c>
      <c r="H51" s="16" t="inlineStr">
        <is>
          <t>422 REQUEST_NOT_PENDING – This request has already been decided</t>
        </is>
      </c>
      <c r="I51" s="17" t="inlineStr">
        <is>
          <t>Passed</t>
        </is>
      </c>
    </row>
    <row r="52">
      <c r="A52" s="16" t="inlineStr">
        <is>
          <t>API run RIR5X2</t>
        </is>
      </c>
      <c r="B52" s="16" t="inlineStr">
        <is>
          <t>2026-10-02 22:13:49 UTC</t>
        </is>
      </c>
      <c r="C52" s="16" t="inlineStr">
        <is>
          <t>iorta TechNXT QA (API run)</t>
        </is>
      </c>
      <c r="D52" s="16" t="inlineStr">
        <is>
          <t>EX-054 – Blocked bank: new business is refused for every officer of the bank</t>
        </is>
      </c>
      <c r="E52" s="16" t="inlineStr">
        <is>
          <t>bk-000005</t>
        </is>
      </c>
      <c r="F52" s="16" t="inlineStr">
        <is>
          <t>GET /api/v1/portal/dashboard; POST /api/v1/portal/policies; POST …/submit (bk-000005)</t>
        </is>
      </c>
      <c r="G52" s="16" t="inlineStr">
        <is>
          <t>HTTP 422 AGENCY_BLOCKED on submit; portal dashboard shows the AGENCY_BLOCKED pending action</t>
        </is>
      </c>
      <c r="H52" s="16" t="inlineStr">
        <is>
          <t>issuanceBlocked=true pendingAction=true | quotation 201 | 422 AGENCY_BLOCKED – New business is blocked for your agency/bank because contribution payments are overdue. Submit the outstanding payments to continue.</t>
        </is>
      </c>
      <c r="I52" s="17" t="inlineStr">
        <is>
          <t>Passed</t>
        </is>
      </c>
    </row>
    <row r="53">
      <c r="A53" s="16" t="inlineStr">
        <is>
          <t>API run RIR5X2</t>
        </is>
      </c>
      <c r="B53" s="16" t="inlineStr">
        <is>
          <t>2026-10-02 22:13:49 UTC</t>
        </is>
      </c>
      <c r="C53" s="16" t="inlineStr">
        <is>
          <t>iorta TechNXT QA (API run)</t>
        </is>
      </c>
      <c r="D53" s="16" t="inlineStr">
        <is>
          <t>EX-060 – Endorsement request (nominee change) is routed for approval</t>
        </is>
      </c>
      <c r="E53" s="16" t="inlineStr">
        <is>
          <t>ag-000001</t>
        </is>
      </c>
      <c r="F53" s="16" t="inlineStr">
        <is>
          <t>POST /api/v1/portal/policies/f16fde6b-2488-470c-a7fd-a0d20332c6bb/endorsements</t>
        </is>
      </c>
      <c r="G53" s="16" t="inlineStr">
        <is>
          <t>HTTP 201; type POLICY_ENDORSEMENT, status PENDING; an invalid endorsement type is refused with 422 INVALID_CODE</t>
        </is>
      </c>
      <c r="H53" s="16" t="inlineStr">
        <is>
          <t>422 INVALID_CODE – "NOT_A_TYPE" is not a valid endorsement type | 201 POLICY_ENDORSEMENT PENDING</t>
        </is>
      </c>
      <c r="I53" s="17" t="inlineStr">
        <is>
          <t>Passed</t>
        </is>
      </c>
    </row>
    <row r="54">
      <c r="A54" s="16" t="inlineStr">
        <is>
          <t>API run RIR5X2</t>
        </is>
      </c>
      <c r="B54" s="16" t="inlineStr">
        <is>
          <t>2026-10-02 22:13:49 UTC</t>
        </is>
      </c>
      <c r="C54" s="16" t="inlineStr">
        <is>
          <t>iorta TechNXT QA (API run)</t>
        </is>
      </c>
      <c r="D54" s="16" t="inlineStr">
        <is>
          <t>EX-061 – Approval request view never contains ciphertext</t>
        </is>
      </c>
      <c r="E54" s="16" t="inlineStr">
        <is>
          <t>ops.checker</t>
        </is>
      </c>
      <c r="F54" s="16" t="inlineStr">
        <is>
          <t>GET /api/v1/backoffice/approvals/c844812b-ba22-49bb-9b4c-2bc58c91b1e6</t>
        </is>
      </c>
      <c r="G54" s="16" t="inlineStr">
        <is>
          <t>GET approvals/{id} returns the nominees with masked ID numbers and no idNumberEnc</t>
        </is>
      </c>
      <c r="H54" s="16" t="inlineStr">
        <is>
          <t>200 contains idNumberEnc=false masked=true</t>
        </is>
      </c>
      <c r="I54" s="17" t="inlineStr">
        <is>
          <t>Passed</t>
        </is>
      </c>
    </row>
    <row r="55">
      <c r="A55" s="16" t="inlineStr">
        <is>
          <t>API run RIR5X2</t>
        </is>
      </c>
      <c r="B55" s="16" t="inlineStr">
        <is>
          <t>2026-10-02 22:13:49 UTC</t>
        </is>
      </c>
      <c r="C55" s="16" t="inlineStr">
        <is>
          <t>iorta TechNXT QA (API run)</t>
        </is>
      </c>
      <c r="D55" s="16" t="inlineStr">
        <is>
          <t>EX-062 – Operations supervisor approves the endorsement and the nominees change</t>
        </is>
      </c>
      <c r="E55" s="16" t="inlineStr">
        <is>
          <t>ops.checker</t>
        </is>
      </c>
      <c r="F55" s="16" t="inlineStr">
        <is>
          <t>POST /api/v1/backoffice/approvals/c844812b-ba22-49bb-9b4c-2bc58c91b1e6/approve</t>
        </is>
      </c>
      <c r="G55" s="16" t="inlineStr">
        <is>
          <t>HTTP 200; policy detail shows two nominees with 50% each</t>
        </is>
      </c>
      <c r="H55" s="16" t="inlineStr">
        <is>
          <t>200 | nominees=2 shares=50/50</t>
        </is>
      </c>
      <c r="I55" s="17" t="inlineStr">
        <is>
          <t>Passed</t>
        </is>
      </c>
    </row>
    <row r="56">
      <c r="A56" s="16" t="inlineStr">
        <is>
          <t>API run RIR5X2</t>
        </is>
      </c>
      <c r="B56" s="16" t="inlineStr">
        <is>
          <t>2026-10-02 22:13:49 UTC</t>
        </is>
      </c>
      <c r="C56" s="16" t="inlineStr">
        <is>
          <t>iorta TechNXT QA (API run)</t>
        </is>
      </c>
      <c r="D56" s="16" t="inlineStr">
        <is>
          <t>EX-063 – Cancellation request validation and rejection with mandatory remarks</t>
        </is>
      </c>
      <c r="E56" s="16" t="inlineStr">
        <is>
          <t>ag-000001, ops.checker</t>
        </is>
      </c>
      <c r="F56" s="16" t="inlineStr">
        <is>
          <t>POST /api/v1/portal/policies/f16fde6b-2488-470c-a7fd-a0d20332c6bb/cancellations; POST approvals/{id}/reject</t>
        </is>
      </c>
      <c r="G56" s="16" t="inlineStr">
        <is>
          <t>Effective date before cover start → 422 INVALID_DATE; valid request → 201; reject without remarks → 400; reject with remarks → 200 and the policy stays ACTIVE</t>
        </is>
      </c>
      <c r="H56" s="16" t="inlineStr">
        <is>
          <t>422 INVALID_DATE – Cancellation cannot take effect before the cover start date | 201 | 400 | 200 REJECTED | policy ACTIVE</t>
        </is>
      </c>
      <c r="I56" s="17" t="inlineStr">
        <is>
          <t>Passed</t>
        </is>
      </c>
    </row>
    <row r="57">
      <c r="A57" s="16" t="inlineStr">
        <is>
          <t>API run RIR5X2</t>
        </is>
      </c>
      <c r="B57" s="16" t="inlineStr">
        <is>
          <t>2026-10-02 22:13:50 UTC</t>
        </is>
      </c>
      <c r="C57" s="16" t="inlineStr">
        <is>
          <t>iorta TechNXT QA (API run)</t>
        </is>
      </c>
      <c r="D57" s="16" t="inlineStr">
        <is>
          <t>EX-064 – Rejection remarks are visible to the maker in the request list</t>
        </is>
      </c>
      <c r="E57" s="16" t="inlineStr">
        <is>
          <t>ag-000001</t>
        </is>
      </c>
      <c r="F57" s="16" t="inlineStr">
        <is>
          <t>GET /api/v1/portal/requests?status=REJECTED; GET /api/v1/portal/requests/{id}</t>
        </is>
      </c>
      <c r="G57" s="16" t="inlineStr">
        <is>
          <t>GET /portal/requests/{id} shows status REJECTED with the remarks</t>
        </is>
      </c>
      <c r="H57" s="16" t="inlineStr">
        <is>
          <t>200 REJECTED remarks=Participant withdrew the request</t>
        </is>
      </c>
      <c r="I57" s="17" t="inlineStr">
        <is>
          <t>Passed</t>
        </is>
      </c>
    </row>
    <row r="58">
      <c r="A58" s="16" t="inlineStr">
        <is>
          <t>API run RIR5X2</t>
        </is>
      </c>
      <c r="B58" s="16" t="inlineStr">
        <is>
          <t>2026-10-02 22:13:50 UTC</t>
        </is>
      </c>
      <c r="C58" s="16" t="inlineStr">
        <is>
          <t>iorta TechNXT QA (API run)</t>
        </is>
      </c>
      <c r="D58" s="16" t="inlineStr">
        <is>
          <t>EX-065 – Renewal is only possible inside the renewal window and for renewable products</t>
        </is>
      </c>
      <c r="E58" s="16" t="inlineStr">
        <is>
          <t>ag-000001</t>
        </is>
      </c>
      <c r="F58" s="16" t="inlineStr">
        <is>
          <t>POST /api/v1/portal/policies/f16fde6b-2488-470c-a7fd-a0d20332c6bb/renew; POST …/96c15cdb-bd2d-4e38-b0ab-1ee3734ca02c/renew (KHR); GET renewals-due</t>
        </is>
      </c>
      <c r="G58" s="16" t="inlineStr">
        <is>
          <t>Renew the new PRO policy (ends in a year) → 422 OUTSIDE_RENEWAL_WINDOW; renew a Khairat policy → 422 NOT_RENEWABLE; renewals-due lists policies ending within 45 days</t>
        </is>
      </c>
      <c r="H58" s="16" t="inlineStr">
        <is>
          <t>422 OUTSIDE_RENEWAL_WINDOW – Renewal opens 45 days before the policy ends and closes 30 days after it | 422 NOT_RENEWABLE – Khairat Takaful Plan cannot be renewed through the portal | due=0 allWithin45d=true</t>
        </is>
      </c>
      <c r="I58" s="17" t="inlineStr">
        <is>
          <t>Passed</t>
        </is>
      </c>
    </row>
    <row r="59">
      <c r="A59" s="16" t="inlineStr">
        <is>
          <t>API run RIR5X2</t>
        </is>
      </c>
      <c r="B59" s="16" t="inlineStr">
        <is>
          <t>2026-10-02 22:13:50 UTC</t>
        </is>
      </c>
      <c r="C59" s="16" t="inlineStr">
        <is>
          <t>iorta TechNXT QA (API run)</t>
        </is>
      </c>
      <c r="D59" s="16" t="inlineStr">
        <is>
          <t>EX-066 – Renewal quotation is created from a policy that is due</t>
        </is>
      </c>
      <c r="E59" s="16" t="inlineStr">
        <is>
          <t>ag-000001</t>
        </is>
      </c>
      <c r="F59" s="16" t="inlineStr">
        <is>
          <t>GET /api/v1/portal/policies/renewals-due (ag-000001, ag-000002)</t>
        </is>
      </c>
      <c r="G59" s="16" t="inlineStr">
        <is>
          <t>POST renew → 201 DRAFT quotation carrying the nominees; a second renewal → 422 RENEWAL_EXISTS</t>
        </is>
      </c>
      <c r="H59" s="16" t="inlineStr">
        <is>
          <t>Pre-condition not met: no renewable policy is due for renewal in the demonstration data (earlier runs already renewed them)</t>
        </is>
      </c>
      <c r="I59" s="19" t="inlineStr">
        <is>
          <t>Blocked</t>
        </is>
      </c>
    </row>
    <row r="60">
      <c r="A60" s="16" t="inlineStr">
        <is>
          <t>API run RIR5X2</t>
        </is>
      </c>
      <c r="B60" s="16" t="inlineStr">
        <is>
          <t>2026-10-02 22:13:50 UTC</t>
        </is>
      </c>
      <c r="C60" s="16" t="inlineStr">
        <is>
          <t>iorta TechNXT QA (API run)</t>
        </is>
      </c>
      <c r="D60" s="16" t="inlineStr">
        <is>
          <t>EX-067 – Claim notification is validated against the policy and the period of cover</t>
        </is>
      </c>
      <c r="E60" s="16" t="inlineStr">
        <is>
          <t>ag-000001</t>
        </is>
      </c>
      <c r="F60" s="16" t="inlineStr">
        <is>
          <t>GET /api/v1/portal/claims/validate-policy; POST /api/v1/portal/claims (2020-01-01; today)</t>
        </is>
      </c>
      <c r="G60" s="16" t="inlineStr">
        <is>
          <t>validate-policy → 200; event before cover start → 422 CLAIM_NOT_VALID; valid → 201 with claimNo CL/yy/nnnnnn</t>
        </is>
      </c>
      <c r="H60" s="16" t="inlineStr">
        <is>
          <t>200 | 422 CLAIM_NOT_VALID – The claim cannot be notified [The event date must fall within the period of cover] | 201 CL/26/000006 SUBMITTED</t>
        </is>
      </c>
      <c r="I60" s="17" t="inlineStr">
        <is>
          <t>Passed</t>
        </is>
      </c>
    </row>
    <row r="61">
      <c r="A61" s="16" t="inlineStr">
        <is>
          <t>API run RIR5X2</t>
        </is>
      </c>
      <c r="B61" s="16" t="inlineStr">
        <is>
          <t>2026-10-02 22:13:50 UTC</t>
        </is>
      </c>
      <c r="C61" s="16" t="inlineStr">
        <is>
          <t>iorta TechNXT QA (API run)</t>
        </is>
      </c>
      <c r="D61" s="16" t="inlineStr">
        <is>
          <t>EX-068 – Claim status follows the defined transitions in the back-office</t>
        </is>
      </c>
      <c r="E61" s="16" t="inlineStr">
        <is>
          <t>ops.maker</t>
        </is>
      </c>
      <c r="F61" s="16" t="inlineStr">
        <is>
          <t>PUT /api/v1/backoffice/claims/e492485c-3011-4185-b73a-f30117b935e5/status (CLOSED; UNDER_REVIEW)</t>
        </is>
      </c>
      <c r="G61" s="16" t="inlineStr">
        <is>
          <t>SUBMITTED → CLOSED refused (422 INVALID_STATUS_CHANGE); SUBMITTED → UNDER_REVIEW accepted (200); the agent sees the new status</t>
        </is>
      </c>
      <c r="H61" s="16" t="inlineStr">
        <is>
          <t>422 INVALID_STATUS_CHANGE – A SUBMITTED claim cannot move to CLOSED | 200 | agent sees UNDER_REVIEW</t>
        </is>
      </c>
      <c r="I61" s="17" t="inlineStr">
        <is>
          <t>Passed</t>
        </is>
      </c>
    </row>
    <row r="62">
      <c r="A62" s="16" t="inlineStr">
        <is>
          <t>API run RIR5X2</t>
        </is>
      </c>
      <c r="B62" s="16" t="inlineStr">
        <is>
          <t>2026-10-02 22:13:50 UTC</t>
        </is>
      </c>
      <c r="C62" s="16" t="inlineStr">
        <is>
          <t>iorta TechNXT QA (API run)</t>
        </is>
      </c>
      <c r="D62" s="16" t="inlineStr">
        <is>
          <t>EX-069 – Claims cannot be notified on a quotation that is not in force</t>
        </is>
      </c>
      <c r="E62" s="16" t="inlineStr">
        <is>
          <t>ag-000001</t>
        </is>
      </c>
      <c r="F62" s="16" t="inlineStr">
        <is>
          <t>POST /api/v1/portal/claims (draft quotation)</t>
        </is>
      </c>
      <c r="G62" s="16" t="inlineStr">
        <is>
          <t>HTTP 422 CLAIM_NOT_VALID stating that the policy is not in force</t>
        </is>
      </c>
      <c r="H62" s="16" t="inlineStr">
        <is>
          <t>422 CLAIM_NOT_VALID – The claim cannot be notified [The policy is not in force; The event date must fall within the period of cover]</t>
        </is>
      </c>
      <c r="I62" s="17" t="inlineStr">
        <is>
          <t>Passed</t>
        </is>
      </c>
    </row>
    <row r="63">
      <c r="A63" s="16" t="inlineStr">
        <is>
          <t>API run RIR5X2</t>
        </is>
      </c>
      <c r="B63" s="16" t="inlineStr">
        <is>
          <t>2026-10-02 22:13:50 UTC</t>
        </is>
      </c>
      <c r="C63" s="16" t="inlineStr">
        <is>
          <t>iorta TechNXT QA (API run)</t>
        </is>
      </c>
      <c r="D63" s="16" t="inlineStr">
        <is>
          <t>EX-070 – Only an agency principal can register agents through the portal</t>
        </is>
      </c>
      <c r="E63" s="16" t="inlineStr">
        <is>
          <t>ag-000002</t>
        </is>
      </c>
      <c r="F63" s="16" t="inlineStr">
        <is>
          <t>POST /api/v1/portal/agents (ag-000002)</t>
        </is>
      </c>
      <c r="G63" s="16" t="inlineStr">
        <is>
          <t>HTTP 403 FORBIDDEN for a sub-agent</t>
        </is>
      </c>
      <c r="H63" s="16" t="inlineStr">
        <is>
          <t>403 FORBIDDEN – You do not have permission to perform this action</t>
        </is>
      </c>
      <c r="I63" s="17" t="inlineStr">
        <is>
          <t>Passed</t>
        </is>
      </c>
    </row>
    <row r="64">
      <c r="A64" s="16" t="inlineStr">
        <is>
          <t>API run RIR5X2</t>
        </is>
      </c>
      <c r="B64" s="16" t="inlineStr">
        <is>
          <t>2026-10-02 22:13:50 UTC</t>
        </is>
      </c>
      <c r="C64" s="16" t="inlineStr">
        <is>
          <t>iorta TechNXT QA (API run)</t>
        </is>
      </c>
      <c r="D64" s="16" t="inlineStr">
        <is>
          <t>EX-071 – Hierarchy rules: a bank officer cannot be registered under an agency; a main agent cannot report to another agent</t>
        </is>
      </c>
      <c r="E64" s="16" t="inlineStr">
        <is>
          <t>ag-000001</t>
        </is>
      </c>
      <c r="F64" s="16" t="inlineStr">
        <is>
          <t>POST /api/v1/portal/agents (BANKER; MAIN_AGENT with parent)</t>
        </is>
      </c>
      <c r="G64" s="16" t="inlineStr">
        <is>
          <t>HTTP 422 INVALID_AGENT_TYPE; HTTP 422 INVALID_PARENT</t>
        </is>
      </c>
      <c r="H64" s="16" t="inlineStr">
        <is>
          <t>422 INVALID_AGENT_TYPE – Agencies register main agents or sub-agents | 422 INVALID_PARENT – A main agent cannot report to another agent</t>
        </is>
      </c>
      <c r="I64" s="17" t="inlineStr">
        <is>
          <t>Passed</t>
        </is>
      </c>
    </row>
    <row r="65">
      <c r="A65" s="16" t="inlineStr">
        <is>
          <t>API run RIR5X2</t>
        </is>
      </c>
      <c r="B65" s="16" t="inlineStr">
        <is>
          <t>2026-10-02 22:13:50 UTC</t>
        </is>
      </c>
      <c r="C65" s="16" t="inlineStr">
        <is>
          <t>iorta TechNXT QA (API run)</t>
        </is>
      </c>
      <c r="D65" s="16" t="inlineStr">
        <is>
          <t>EX-072 – Principal registers a sub-agent: unique code, PENDING status, duplicate IC refused</t>
        </is>
      </c>
      <c r="E65" s="16" t="inlineStr">
        <is>
          <t>ag-000001</t>
        </is>
      </c>
      <c r="F65" s="16" t="inlineStr">
        <is>
          <t>POST /api/v1/portal/agents (twice with the same IC)</t>
        </is>
      </c>
      <c r="G65" s="16" t="inlineStr">
        <is>
          <t>HTTP 201 with agentCode AG-nnnnnn and status PENDING; same IC again → 422 DUPLICATE_AGENT</t>
        </is>
      </c>
      <c r="H65" s="16" t="inlineStr">
        <is>
          <t>201 AG-000015 PENDING | 422 DUPLICATE_AGENT – An agent with this identification number is already registered</t>
        </is>
      </c>
      <c r="I65" s="17" t="inlineStr">
        <is>
          <t>Passed</t>
        </is>
      </c>
    </row>
    <row r="66">
      <c r="A66" s="16" t="inlineStr">
        <is>
          <t>API run RIR5X2</t>
        </is>
      </c>
      <c r="B66" s="16" t="inlineStr">
        <is>
          <t>2026-10-02 22:13:50 UTC</t>
        </is>
      </c>
      <c r="C66" s="16" t="inlineStr">
        <is>
          <t>iorta TechNXT QA (API run)</t>
        </is>
      </c>
      <c r="D66" s="16" t="inlineStr">
        <is>
          <t>EX-073 – Registration cannot be approved until the IC copy is uploaded</t>
        </is>
      </c>
      <c r="E66" s="16" t="inlineStr">
        <is>
          <t>ops.checker</t>
        </is>
      </c>
      <c r="F66" s="16" t="inlineStr">
        <is>
          <t>POST /api/v1/backoffice/approvals/a001a16e-4903-4ee3-bbbd-388b78d5fa27/approve</t>
        </is>
      </c>
      <c r="G66" s="16" t="inlineStr">
        <is>
          <t>HTTP 422 DOCUMENTS_MISSING before upload</t>
        </is>
      </c>
      <c r="H66" s="16" t="inlineStr">
        <is>
          <t>422 DOCUMENTS_MISSING – Required documents have not been uploaded [IC_COPY]</t>
        </is>
      </c>
      <c r="I66" s="17" t="inlineStr">
        <is>
          <t>Passed</t>
        </is>
      </c>
    </row>
    <row r="67">
      <c r="A67" s="16" t="inlineStr">
        <is>
          <t>API run RIR5X2</t>
        </is>
      </c>
      <c r="B67" s="16" t="inlineStr">
        <is>
          <t>2026-10-02 22:13:50 UTC</t>
        </is>
      </c>
      <c r="C67" s="16" t="inlineStr">
        <is>
          <t>iorta TechNXT QA (API run)</t>
        </is>
      </c>
      <c r="D67" s="16" t="inlineStr">
        <is>
          <t>EX-074 – After the IC copy is uploaded the checker approves: agent ACTIVE with a portal account</t>
        </is>
      </c>
      <c r="E67" s="16" t="inlineStr">
        <is>
          <t>ag-000001, ops.checker</t>
        </is>
      </c>
      <c r="F67" s="16" t="inlineStr">
        <is>
          <t>POST /api/v1/common/documents (AGENT IC_COPY); POST approvals/{id}/approve; GET /api/v1/portal/agents/{id}; GET /api/v1/backoffice/users</t>
        </is>
      </c>
      <c r="G67" s="16" t="inlineStr">
        <is>
          <t>HTTP 200; GET /portal/agents/{id} shows status ACTIVE; a user named after the agent code exists</t>
        </is>
      </c>
      <c r="H67" s="16" t="inlineStr">
        <is>
          <t>200 | agent ACTIVE | user ag-000015 mustChangePassword=true</t>
        </is>
      </c>
      <c r="I67" s="17" t="inlineStr">
        <is>
          <t>Passed</t>
        </is>
      </c>
    </row>
    <row r="68">
      <c r="A68" s="16" t="inlineStr">
        <is>
          <t>API run RIR5X2</t>
        </is>
      </c>
      <c r="B68" s="16" t="inlineStr">
        <is>
          <t>2026-10-02 22:13:50 UTC</t>
        </is>
      </c>
      <c r="C68" s="16" t="inlineStr">
        <is>
          <t>iorta TechNXT QA (API run)</t>
        </is>
      </c>
      <c r="D68" s="16" t="inlineStr">
        <is>
          <t>EX-075 – Segregation of duties: a back-office maker cannot approve their own registration</t>
        </is>
      </c>
      <c r="E68" s="16" t="inlineStr">
        <is>
          <t>ops.maker</t>
        </is>
      </c>
      <c r="F68" s="16" t="inlineStr">
        <is>
          <t>POST /api/v1/backoffice/agents; POST approvals/{id}/approve by the same user</t>
        </is>
      </c>
      <c r="G68" s="16" t="inlineStr">
        <is>
          <t>HTTP 422 SEGREGATION_OF_DUTIES</t>
        </is>
      </c>
      <c r="H68" s="16" t="inlineStr">
        <is>
          <t>201 AG-000016 | 422 SEGREGATION_OF_DUTIES – You cannot approve or reject a request you submitted</t>
        </is>
      </c>
      <c r="I68" s="17" t="inlineStr">
        <is>
          <t>Passed</t>
        </is>
      </c>
    </row>
    <row r="69">
      <c r="A69" s="16" t="inlineStr">
        <is>
          <t>API run RIR5X2</t>
        </is>
      </c>
      <c r="B69" s="16" t="inlineStr">
        <is>
          <t>2026-10-02 22:13:50 UTC</t>
        </is>
      </c>
      <c r="C69" s="16" t="inlineStr">
        <is>
          <t>iorta TechNXT QA (API run)</t>
        </is>
      </c>
      <c r="D69" s="16" t="inlineStr">
        <is>
          <t>EX-076 – Checker rejects with mandatory remarks; the maker sees the reason</t>
        </is>
      </c>
      <c r="E69" s="16" t="inlineStr">
        <is>
          <t>ops.checker, ops.maker</t>
        </is>
      </c>
      <c r="F69" s="16" t="inlineStr">
        <is>
          <t>POST /api/v1/backoffice/approvals/bbdcfa8d-7e0e-4183-a9f8-faf2d24b91aa/reject</t>
        </is>
      </c>
      <c r="G69" s="16" t="inlineStr">
        <is>
          <t>Reject without remarks → 400; with remarks → 200 and status REJECTED; agent status REJECTED</t>
        </is>
      </c>
      <c r="H69" s="16" t="inlineStr">
        <is>
          <t>400 | 200 REJECTED | agent REJECTED</t>
        </is>
      </c>
      <c r="I69" s="17" t="inlineStr">
        <is>
          <t>Passed</t>
        </is>
      </c>
    </row>
    <row r="70">
      <c r="A70" s="16" t="inlineStr">
        <is>
          <t>API run RIR5X2</t>
        </is>
      </c>
      <c r="B70" s="16" t="inlineStr">
        <is>
          <t>2026-10-02 22:13:50 UTC</t>
        </is>
      </c>
      <c r="C70" s="16" t="inlineStr">
        <is>
          <t>iorta TechNXT QA (API run)</t>
        </is>
      </c>
      <c r="D70" s="16" t="inlineStr">
        <is>
          <t>EX-077 – Profile update request from the portal and the hierarchy view</t>
        </is>
      </c>
      <c r="E70" s="16" t="inlineStr">
        <is>
          <t>ag-000002</t>
        </is>
      </c>
      <c r="F70" s="16" t="inlineStr">
        <is>
          <t>POST /api/v1/portal/profile/update-requests; GET /api/v1/portal/hierarchy; GET /api/v1/portal/agency</t>
        </is>
      </c>
      <c r="G70" s="16" t="inlineStr">
        <is>
          <t>POST profile/update-requests → 201 PENDING; GET /portal/hierarchy → 200 with the reporting line; GET /portal/agency → 200</t>
        </is>
      </c>
      <c r="H70" s="16" t="inlineStr">
        <is>
          <t>201 AGENT_PROFILE_UPDATE PENDING | 200 | 200 AGY-SA</t>
        </is>
      </c>
      <c r="I70" s="17" t="inlineStr">
        <is>
          <t>Passed</t>
        </is>
      </c>
    </row>
    <row r="71">
      <c r="A71" s="16" t="inlineStr">
        <is>
          <t>API run RIR5X2</t>
        </is>
      </c>
      <c r="B71" s="16" t="inlineStr">
        <is>
          <t>2026-10-02 22:13:50 UTC</t>
        </is>
      </c>
      <c r="C71" s="16" t="inlineStr">
        <is>
          <t>iorta TechNXT QA (API run)</t>
        </is>
      </c>
      <c r="D71" s="16" t="inlineStr">
        <is>
          <t>EX-078 – Agent status change request with an invalid transition is refused</t>
        </is>
      </c>
      <c r="E71" s="16" t="inlineStr">
        <is>
          <t>ops.maker</t>
        </is>
      </c>
      <c r="F71" s="16" t="inlineStr">
        <is>
          <t>POST /api/v1/backoffice/agents/f8fad9ca-f327-4a4a-b2aa-c516fb82000f/status-requests (ACTIVE; SUSPENDED); withdraw</t>
        </is>
      </c>
      <c r="G71" s="16" t="inlineStr">
        <is>
          <t>ACTIVE → ACTIVE refused with 422 INVALID_STATUS_CHANGE; ACTIVE → SUSPENDED creates a request (201)</t>
        </is>
      </c>
      <c r="H71" s="16" t="inlineStr">
        <is>
          <t>422 INVALID_STATUS_CHANGE – Status cannot change from ACTIVE to ACTIVE | 201 PENDING | withdraw 200 WITHDRAWN</t>
        </is>
      </c>
      <c r="I71" s="17" t="inlineStr">
        <is>
          <t>Passed</t>
        </is>
      </c>
    </row>
    <row r="72">
      <c r="A72" s="16" t="inlineStr">
        <is>
          <t>API run RIR5X2</t>
        </is>
      </c>
      <c r="B72" s="16" t="inlineStr">
        <is>
          <t>2026-10-02 22:13:50 UTC</t>
        </is>
      </c>
      <c r="C72" s="16" t="inlineStr">
        <is>
          <t>iorta TechNXT QA (API run)</t>
        </is>
      </c>
      <c r="D72" s="16" t="inlineStr">
        <is>
          <t>EX-079 – Agency maintenance: validation and creation</t>
        </is>
      </c>
      <c r="E72" s="16" t="inlineStr">
        <is>
          <t>manager</t>
        </is>
      </c>
      <c r="F72" s="16" t="inlineStr">
        <is>
          <t>POST /api/v1/backoffice/agencies</t>
        </is>
      </c>
      <c r="G72" s="16" t="inlineStr">
        <is>
          <t>Invalid code → 400; valid agency → 201 with status ACTIVE</t>
        </is>
      </c>
      <c r="H72" s="16" t="inlineStr">
        <is>
          <t>400 | 201 AGY-RIR5X2 ACTIVE</t>
        </is>
      </c>
      <c r="I72" s="17" t="inlineStr">
        <is>
          <t>Passed</t>
        </is>
      </c>
    </row>
    <row r="73">
      <c r="A73" s="16" t="inlineStr">
        <is>
          <t>API run RIR5X2</t>
        </is>
      </c>
      <c r="B73" s="16" t="inlineStr">
        <is>
          <t>2026-10-02 22:13:50 UTC</t>
        </is>
      </c>
      <c r="C73" s="16" t="inlineStr">
        <is>
          <t>iorta TechNXT QA (API run)</t>
        </is>
      </c>
      <c r="D73" s="16" t="inlineStr">
        <is>
          <t>EX-080 – Participant matching a watch-list name is flagged and routed to Compliance</t>
        </is>
      </c>
      <c r="E73" s="16" t="inlineStr">
        <is>
          <t>ag-000001</t>
        </is>
      </c>
      <c r="F73" s="16" t="inlineStr">
        <is>
          <t>POST /api/v1/portal/participants (Rashid Al Mansouri); … submit</t>
        </is>
      </c>
      <c r="G73" s="16" t="inlineStr">
        <is>
          <t>HTTP 201 with amlStatus FLAGGED; quotation submission → 422 AML_REVIEW_PENDING</t>
        </is>
      </c>
      <c r="H73" s="16" t="inlineStr">
        <is>
          <t>201 aml=FLAGGED | 422 AML_REVIEW_PENDING – The participant is under compliance review. Submission is possible once Compliance clears the case.</t>
        </is>
      </c>
      <c r="I73" s="17" t="inlineStr">
        <is>
          <t>Passed</t>
        </is>
      </c>
    </row>
    <row r="74">
      <c r="A74" s="16" t="inlineStr">
        <is>
          <t>API run RIR5X2</t>
        </is>
      </c>
      <c r="B74" s="16" t="inlineStr">
        <is>
          <t>2026-10-02 22:13:50 UTC</t>
        </is>
      </c>
      <c r="C74" s="16" t="inlineStr">
        <is>
          <t>iorta TechNXT QA (API run)</t>
        </is>
      </c>
      <c r="D74" s="16" t="inlineStr">
        <is>
          <t>EX-081 – Compliance reviews the case: remarks mandatory, decision recorded once</t>
        </is>
      </c>
      <c r="E74" s="16" t="inlineStr">
        <is>
          <t>compliance</t>
        </is>
      </c>
      <c r="F74" s="16" t="inlineStr">
        <is>
          <t>GET /api/v1/backoffice/aml/cases; POST aml/cases/6d10df55-9e1f-4026-ba3d-ec419307ffae/review (no remarks; CLEARED; again)</t>
        </is>
      </c>
      <c r="G74" s="16" t="inlineStr">
        <is>
          <t>Case listed PENDING_REVIEW with score ≥ 85; review without remarks → 400/422; CLEARED → 201; second review → 422 ALREADY_REVIEWED; participant amlStatus CLEAR</t>
        </is>
      </c>
      <c r="H74" s="16" t="inlineStr">
        <is>
          <t>score=100 PENDING_REVIEW | 400 BAD_REQUEST – Some fields are invalid [remarks must be longer than or equal to 3 characters] | 201 | 422 ALREADY_REVIEWED – This case has already been reviewed | participant CLEAR</t>
        </is>
      </c>
      <c r="I74" s="17" t="inlineStr">
        <is>
          <t>Passed</t>
        </is>
      </c>
    </row>
    <row r="75">
      <c r="A75" s="16" t="inlineStr">
        <is>
          <t>API run RIR5X2</t>
        </is>
      </c>
      <c r="B75" s="16" t="inlineStr">
        <is>
          <t>2026-10-02 22:13:50 UTC</t>
        </is>
      </c>
      <c r="C75" s="16" t="inlineStr">
        <is>
          <t>iorta TechNXT QA (API run)</t>
        </is>
      </c>
      <c r="D75" s="16" t="inlineStr">
        <is>
          <t>EX-082 – Cleared participant can now be submitted</t>
        </is>
      </c>
      <c r="E75" s="16" t="inlineStr">
        <is>
          <t>ag-000001</t>
        </is>
      </c>
      <c r="F75" s="16" t="inlineStr">
        <is>
          <t>POST /api/v1/portal/policies/75fad4ce-8360-4955-ae1d-eb9e5a5866cf/submit</t>
        </is>
      </c>
      <c r="G75" s="16" t="inlineStr">
        <is>
          <t>POST submit → 200 PENDING_PAYMENT</t>
        </is>
      </c>
      <c r="H75" s="16" t="inlineStr">
        <is>
          <t>200 PENDING_PAYMENT</t>
        </is>
      </c>
      <c r="I75" s="17" t="inlineStr">
        <is>
          <t>Passed</t>
        </is>
      </c>
    </row>
    <row r="76">
      <c r="A76" s="16" t="inlineStr">
        <is>
          <t>API run RIR5X2</t>
        </is>
      </c>
      <c r="B76" s="16" t="inlineStr">
        <is>
          <t>2026-10-02 22:13:50 UTC</t>
        </is>
      </c>
      <c r="C76" s="16" t="inlineStr">
        <is>
          <t>iorta TechNXT QA (API run)</t>
        </is>
      </c>
      <c r="D76" s="16" t="inlineStr">
        <is>
          <t>EX-083 – Watch-list maintenance: manual entry and CSV import validation</t>
        </is>
      </c>
      <c r="E76" s="16" t="inlineStr">
        <is>
          <t>compliance</t>
        </is>
      </c>
      <c r="F76" s="16" t="inlineStr">
        <is>
          <t>POST /api/v1/backoffice/aml/watchlist; POST aml/watchlist/import (bad header; valid)</t>
        </is>
      </c>
      <c r="G76" s="16" t="inlineStr">
        <is>
          <t>POST watchlist → 201; CSV with a wrong header → 422 INVALID_CSV; valid CSV → 201 imported=1</t>
        </is>
      </c>
      <c r="H76" s="16" t="inlineStr">
        <is>
          <t>201 | 422 INVALID_CSV – The first line must be: list_name,full_name,id_number,country,reference | 201 imported=1</t>
        </is>
      </c>
      <c r="I76" s="17" t="inlineStr">
        <is>
          <t>Passed</t>
        </is>
      </c>
    </row>
    <row r="77">
      <c r="A77" s="16" t="inlineStr">
        <is>
          <t>API run RIR5X2</t>
        </is>
      </c>
      <c r="B77" s="16" t="inlineStr">
        <is>
          <t>2026-10-02 22:13:50 UTC</t>
        </is>
      </c>
      <c r="C77" s="16" t="inlineStr">
        <is>
          <t>iorta TechNXT QA (API run)</t>
        </is>
      </c>
      <c r="D77" s="16" t="inlineStr">
        <is>
          <t>EX-084 – AML functions are restricted to Compliance</t>
        </is>
      </c>
      <c r="E77" s="16" t="inlineStr">
        <is>
          <t>ops.maker</t>
        </is>
      </c>
      <c r="F77" s="16" t="inlineStr">
        <is>
          <t>GET /api/v1/backoffice/aml/cases</t>
        </is>
      </c>
      <c r="G77" s="16" t="inlineStr">
        <is>
          <t>GET /backoffice/aml/cases → 403 FORBIDDEN for the operations officer</t>
        </is>
      </c>
      <c r="H77" s="16" t="inlineStr">
        <is>
          <t>403 FORBIDDEN – You do not have permission to perform this action</t>
        </is>
      </c>
      <c r="I77" s="17" t="inlineStr">
        <is>
          <t>Passed</t>
        </is>
      </c>
    </row>
    <row r="78">
      <c r="A78" s="16" t="inlineStr">
        <is>
          <t>API run RIR5X2</t>
        </is>
      </c>
      <c r="B78" s="16" t="inlineStr">
        <is>
          <t>2026-10-02 22:13:50 UTC</t>
        </is>
      </c>
      <c r="C78" s="16" t="inlineStr">
        <is>
          <t>iorta TechNXT QA (API run)</t>
        </is>
      </c>
      <c r="D78" s="16" t="inlineStr">
        <is>
          <t>EX-090 – Agent reports an issue and receives a reference and SLA targets</t>
        </is>
      </c>
      <c r="E78" s="16" t="inlineStr">
        <is>
          <t>ag-000002</t>
        </is>
      </c>
      <c r="F78" s="16" t="inlineStr">
        <is>
          <t>POST /api/v1/common/issues (HIGH)</t>
        </is>
      </c>
      <c r="G78" s="16" t="inlineStr">
        <is>
          <t>HTTP 201; issueNo IS/yy/nnnnnn; HIGH priority → responseDueAt = created + 2 h, resolutionDueAt = created + 24 h</t>
        </is>
      </c>
      <c r="H78" s="16" t="inlineStr">
        <is>
          <t>201 IS/26/000007 OPEN response+2h resolution+24h</t>
        </is>
      </c>
      <c r="I78" s="17" t="inlineStr">
        <is>
          <t>Passed</t>
        </is>
      </c>
    </row>
    <row r="79">
      <c r="A79" s="16" t="inlineStr">
        <is>
          <t>API run RIR5X2</t>
        </is>
      </c>
      <c r="B79" s="16" t="inlineStr">
        <is>
          <t>2026-10-02 22:13:50 UTC</t>
        </is>
      </c>
      <c r="C79" s="16" t="inlineStr">
        <is>
          <t>iorta TechNXT QA (API run)</t>
        </is>
      </c>
      <c r="D79" s="16" t="inlineStr">
        <is>
          <t>EX-091 – Support assigns the issue and changes the priority; SLA targets are recomputed</t>
        </is>
      </c>
      <c r="E79" s="16" t="inlineStr">
        <is>
          <t>support</t>
        </is>
      </c>
      <c r="F79" s="16" t="inlineStr">
        <is>
          <t>PUT /api/v1/backoffice/issues/24c6efa5-7183-4b64-8b0b-940c1cfe1c63/assignment; PUT …/priority</t>
        </is>
      </c>
      <c r="G79" s="16" t="inlineStr">
        <is>
          <t>PUT assignment → 200 status ASSIGNED; PUT priority CRITICAL → 200 with responseDueAt = now + 1 h</t>
        </is>
      </c>
      <c r="H79" s="16" t="inlineStr">
        <is>
          <t>200 ASSIGNED | 200 CRITICAL response in 1.00 h</t>
        </is>
      </c>
      <c r="I79" s="17" t="inlineStr">
        <is>
          <t>Passed</t>
        </is>
      </c>
    </row>
    <row r="80">
      <c r="A80" s="16" t="inlineStr">
        <is>
          <t>API run RIR5X2</t>
        </is>
      </c>
      <c r="B80" s="16" t="inlineStr">
        <is>
          <t>2026-10-02 22:13:50 UTC</t>
        </is>
      </c>
      <c r="C80" s="16" t="inlineStr">
        <is>
          <t>iorta TechNXT QA (API run)</t>
        </is>
      </c>
      <c r="D80" s="16" t="inlineStr">
        <is>
          <t>EX-092 – Internal comments stay hidden from the reporter; resolution needs a description</t>
        </is>
      </c>
      <c r="E80" s="16" t="inlineStr">
        <is>
          <t>support, ag-000002</t>
        </is>
      </c>
      <c r="F80" s="16" t="inlineStr">
        <is>
          <t>POST /api/v1/common/issues/24c6efa5-7183-4b64-8b0b-940c1cfe1c63/comments ×2; PUT …/status</t>
        </is>
      </c>
      <c r="G80" s="16" t="inlineStr">
        <is>
          <t>Two comments (one internal); reporter sees one; RESOLVED without resolution → 422 RESOLUTION_REQUIRED; with resolution → 200</t>
        </is>
      </c>
      <c r="H80" s="16" t="inlineStr">
        <is>
          <t>422 RESOLUTION_REQUIRED – Describe the resolution | 200 | reporter sees comments internal=[false] status=RESOLVED</t>
        </is>
      </c>
      <c r="I80" s="17" t="inlineStr">
        <is>
          <t>Passed</t>
        </is>
      </c>
    </row>
    <row r="81">
      <c r="A81" s="16" t="inlineStr">
        <is>
          <t>API run RIR5X2</t>
        </is>
      </c>
      <c r="B81" s="16" t="inlineStr">
        <is>
          <t>2026-10-02 22:13:50 UTC</t>
        </is>
      </c>
      <c r="C81" s="16" t="inlineStr">
        <is>
          <t>iorta TechNXT QA (API run)</t>
        </is>
      </c>
      <c r="D81" s="16" t="inlineStr">
        <is>
          <t>EX-093 – Reporter closes the resolved issue; the issue list filters by status</t>
        </is>
      </c>
      <c r="E81" s="16" t="inlineStr">
        <is>
          <t>ag-000002</t>
        </is>
      </c>
      <c r="F81" s="16" t="inlineStr">
        <is>
          <t>PUT /api/v1/common/issues/24c6efa5-7183-4b64-8b0b-940c1cfe1c63/status (CLOSED); GET /api/v1/common/issues?status=CLOSED</t>
        </is>
      </c>
      <c r="G81" s="16" t="inlineStr">
        <is>
          <t>PUT status CLOSED → 200; GET /common/issues?status=CLOSED lists it</t>
        </is>
      </c>
      <c r="H81" s="16" t="inlineStr">
        <is>
          <t>200 CLOSED | listed=true</t>
        </is>
      </c>
      <c r="I81" s="17" t="inlineStr">
        <is>
          <t>Passed</t>
        </is>
      </c>
    </row>
    <row r="82">
      <c r="A82" s="16" t="inlineStr">
        <is>
          <t>API run RIR5X2</t>
        </is>
      </c>
      <c r="B82" s="16" t="inlineStr">
        <is>
          <t>2026-10-02 22:13:50 UTC</t>
        </is>
      </c>
      <c r="C82" s="16" t="inlineStr">
        <is>
          <t>iorta TechNXT QA (API run)</t>
        </is>
      </c>
      <c r="D82" s="16" t="inlineStr">
        <is>
          <t>EX-094 – Issues of another agency are not visible to an agent</t>
        </is>
      </c>
      <c r="E82" s="16" t="inlineStr">
        <is>
          <t>ag-000003</t>
        </is>
      </c>
      <c r="F82" s="16" t="inlineStr">
        <is>
          <t>GET /api/v1/common/issues/24c6efa5-7183-4b64-8b0b-940c1cfe1c63 (ag-000003)</t>
        </is>
      </c>
      <c r="G82" s="16" t="inlineStr">
        <is>
          <t>GET /common/issues/{id} → 404 (or 403) for an issue of agency AGY-SA</t>
        </is>
      </c>
      <c r="H82" s="16" t="inlineStr">
        <is>
          <t>404 NOT_FOUND – Issue not found</t>
        </is>
      </c>
      <c r="I82" s="17" t="inlineStr">
        <is>
          <t>Passed</t>
        </is>
      </c>
    </row>
    <row r="83">
      <c r="A83" s="16" t="inlineStr">
        <is>
          <t>API run RIR5X2</t>
        </is>
      </c>
      <c r="B83" s="16" t="inlineStr">
        <is>
          <t>2026-10-02 22:13:50 UTC</t>
        </is>
      </c>
      <c r="C83" s="16" t="inlineStr">
        <is>
          <t>iorta TechNXT QA (API run)</t>
        </is>
      </c>
      <c r="D83" s="16" t="inlineStr">
        <is>
          <t>EX-100 – Standard report catalogue and filtered preview</t>
        </is>
      </c>
      <c r="E83" s="16" t="inlineStr">
        <is>
          <t>manager</t>
        </is>
      </c>
      <c r="F83" s="16" t="inlineStr">
        <is>
          <t>GET /api/v1/backoffice/reports; GET /api/v1/backoffice/reports/POLICY_REGISTER?from&amp;to</t>
        </is>
      </c>
      <c r="G83" s="16" t="inlineStr">
        <is>
          <t>12 reports; POLICY_REGISTER preview with a date range returns rows and columns</t>
        </is>
      </c>
      <c r="H83" s="16" t="inlineStr">
        <is>
          <t>12 reports | 200 rows=59</t>
        </is>
      </c>
      <c r="I83" s="17" t="inlineStr">
        <is>
          <t>Passed</t>
        </is>
      </c>
    </row>
    <row r="84">
      <c r="A84" s="16" t="inlineStr">
        <is>
          <t>API run RIR5X2</t>
        </is>
      </c>
      <c r="B84" s="16" t="inlineStr">
        <is>
          <t>2026-10-02 22:13:50 UTC</t>
        </is>
      </c>
      <c r="C84" s="16" t="inlineStr">
        <is>
          <t>iorta TechNXT QA (API run)</t>
        </is>
      </c>
      <c r="D84" s="16" t="inlineStr">
        <is>
          <t>EX-101 – Every standard report runs</t>
        </is>
      </c>
      <c r="E84" s="16" t="inlineStr">
        <is>
          <t>manager</t>
        </is>
      </c>
      <c r="F84" s="16" t="inlineStr">
        <is>
          <t>GET /api/v1/backoffice/reports/{code} for every report</t>
        </is>
      </c>
      <c r="G84" s="16" t="inlineStr">
        <is>
          <t>HTTP 200 with a rows array for each of the 12 reports</t>
        </is>
      </c>
      <c r="H84" s="16" t="inlineStr">
        <is>
          <t>12 reports returned rows</t>
        </is>
      </c>
      <c r="I84" s="17" t="inlineStr">
        <is>
          <t>Passed</t>
        </is>
      </c>
    </row>
    <row r="85">
      <c r="A85" s="16" t="inlineStr">
        <is>
          <t>API run RIR5X2</t>
        </is>
      </c>
      <c r="B85" s="16" t="inlineStr">
        <is>
          <t>2026-10-02 22:13:51 UTC</t>
        </is>
      </c>
      <c r="C85" s="16" t="inlineStr">
        <is>
          <t>iorta TechNXT QA (API run)</t>
        </is>
      </c>
      <c r="D85" s="16" t="inlineStr">
        <is>
          <t>EX-102 – Report export in XLSX, CSV and PDF</t>
        </is>
      </c>
      <c r="E85" s="16" t="inlineStr">
        <is>
          <t>manager</t>
        </is>
      </c>
      <c r="F85" s="16" t="inlineStr">
        <is>
          <t>GET /api/v1/backoffice/reports/POLICY_REGISTER/export?format=</t>
        </is>
      </c>
      <c r="G85" s="16" t="inlineStr">
        <is>
          <t>HTTP 200 with the matching content type for each format</t>
        </is>
      </c>
      <c r="H85" s="16" t="inlineStr">
        <is>
          <t>XLSX:200 application/vnd.openxmlformats-officedocument.spreadsheetml.sheet | CSV:200 text/csv | PDF:200 application/pdf</t>
        </is>
      </c>
      <c r="I85" s="17" t="inlineStr">
        <is>
          <t>Passed</t>
        </is>
      </c>
    </row>
    <row r="86">
      <c r="A86" s="16" t="inlineStr">
        <is>
          <t>API run RIR5X2</t>
        </is>
      </c>
      <c r="B86" s="16" t="inlineStr">
        <is>
          <t>2026-10-02 22:13:51 UTC</t>
        </is>
      </c>
      <c r="C86" s="16" t="inlineStr">
        <is>
          <t>iorta TechNXT QA (API run)</t>
        </is>
      </c>
      <c r="D86" s="16" t="inlineStr">
        <is>
          <t>EX-103 – Portal reports are limited to the agent’s role and scope</t>
        </is>
      </c>
      <c r="E86" s="16" t="inlineStr">
        <is>
          <t>ag-000002</t>
        </is>
      </c>
      <c r="F86" s="16" t="inlineStr">
        <is>
          <t>GET /api/v1/portal/reports; GET /api/v1/portal/reports/AML_SCREENING; GET /api/v1/portal/reports/{first}</t>
        </is>
      </c>
      <c r="G86" s="16" t="inlineStr">
        <is>
          <t>Portal catalogue excludes AML_SCREENING; GET /portal/reports/AML_SCREENING → 403; an allowed report runs with only the agent’s own records</t>
        </is>
      </c>
      <c r="H86" s="16" t="inlineStr">
        <is>
          <t>codes=POLICY_REGISTER,PRODUCTION_SUMMARY,COLLECTIONS,OUTSTANDING_AGEING,CLAIMS_REGISTER,RENEWALS_DUE,COMMISSION_STATEMENT | 403 | 200 rows=12</t>
        </is>
      </c>
      <c r="I86" s="17" t="inlineStr">
        <is>
          <t>Passed</t>
        </is>
      </c>
    </row>
    <row r="87">
      <c r="A87" s="16" t="inlineStr">
        <is>
          <t>API run RIR5X2</t>
        </is>
      </c>
      <c r="B87" s="16" t="inlineStr">
        <is>
          <t>2026-10-02 22:13:51 UTC</t>
        </is>
      </c>
      <c r="C87" s="16" t="inlineStr">
        <is>
          <t>iorta TechNXT QA (API run)</t>
        </is>
      </c>
      <c r="D87" s="16" t="inlineStr">
        <is>
          <t>EX-104 – Scheduled report distribution is configurable</t>
        </is>
      </c>
      <c r="E87" s="16" t="inlineStr">
        <is>
          <t>manager</t>
        </is>
      </c>
      <c r="F87" s="16" t="inlineStr">
        <is>
          <t>POST /api/v1/backoffice/reports/schedules; PUT …/active</t>
        </is>
      </c>
      <c r="G87" s="16" t="inlineStr">
        <is>
          <t>Invalid recipient → 400; valid schedule → 201 with nextRunAt; deactivate → 200 active=false</t>
        </is>
      </c>
      <c r="H87" s="16" t="inlineStr">
        <is>
          <t>400 | 201 nextRunAt=set | 200 active=false</t>
        </is>
      </c>
      <c r="I87" s="17" t="inlineStr">
        <is>
          <t>Passed</t>
        </is>
      </c>
    </row>
    <row r="88">
      <c r="A88" s="16" t="inlineStr">
        <is>
          <t>API run RIR5X2</t>
        </is>
      </c>
      <c r="B88" s="16" t="inlineStr">
        <is>
          <t>2026-10-02 22:13:51 UTC</t>
        </is>
      </c>
      <c r="C88" s="16" t="inlineStr">
        <is>
          <t>iorta TechNXT QA (API run)</t>
        </is>
      </c>
      <c r="D88" s="16" t="inlineStr">
        <is>
          <t>EX-105 – Management and portal dashboards</t>
        </is>
      </c>
      <c r="E88" s="16" t="inlineStr">
        <is>
          <t>manager, ag-000001</t>
        </is>
      </c>
      <c r="F88" s="16" t="inlineStr">
        <is>
          <t>GET /api/v1/backoffice/dashboard; GET /api/v1/portal/dashboard</t>
        </is>
      </c>
      <c r="G88" s="16" t="inlineStr">
        <is>
          <t>Back-office dashboard has KPIs and a 12-month trend; portal dashboard has the profile, pending actions and production figures</t>
        </is>
      </c>
      <c r="H88" s="16" t="inlineStr">
        <is>
          <t>200 policiesYtd=51 trend=12 | 200 pendingActions=8 keys=profile,counts,pendingActions,monthly,recentActivity</t>
        </is>
      </c>
      <c r="I88" s="17" t="inlineStr">
        <is>
          <t>Passed</t>
        </is>
      </c>
    </row>
    <row r="89">
      <c r="A89" s="16" t="inlineStr">
        <is>
          <t>API run RIR5X2</t>
        </is>
      </c>
      <c r="B89" s="16" t="inlineStr">
        <is>
          <t>2026-10-02 22:13:51 UTC</t>
        </is>
      </c>
      <c r="C89" s="16" t="inlineStr">
        <is>
          <t>iorta TechNXT QA (API run)</t>
        </is>
      </c>
      <c r="D89" s="16" t="inlineStr">
        <is>
          <t>EX-106 – Back-office pending-action view: approvals inbox and document queue</t>
        </is>
      </c>
      <c r="E89" s="16" t="inlineStr">
        <is>
          <t>ops.checker</t>
        </is>
      </c>
      <c r="F89" s="16" t="inlineStr">
        <is>
          <t>GET /api/v1/backoffice/approvals/inbox; GET /api/v1/backoffice/documents?status=UPLOADED</t>
        </is>
      </c>
      <c r="G89" s="16" t="inlineStr">
        <is>
          <t>GET approvals/inbox → 200 with items for the checker’s permissions; GET /backoffice/documents?status=UPLOADED → 200</t>
        </is>
      </c>
      <c r="H89" s="16" t="inlineStr">
        <is>
          <t>200 total=7 | 200 total=139</t>
        </is>
      </c>
      <c r="I89" s="17" t="inlineStr">
        <is>
          <t>Passed</t>
        </is>
      </c>
    </row>
    <row r="90">
      <c r="A90" s="16" t="inlineStr">
        <is>
          <t>API run RIR5X2</t>
        </is>
      </c>
      <c r="B90" s="16" t="inlineStr">
        <is>
          <t>2026-10-02 22:13:51 UTC</t>
        </is>
      </c>
      <c r="C90" s="16" t="inlineStr">
        <is>
          <t>iorta TechNXT QA (API run)</t>
        </is>
      </c>
      <c r="D90" s="16" t="inlineStr">
        <is>
          <t>EX-110 – Create a back-office user with a temporary password; role audience is enforced</t>
        </is>
      </c>
      <c r="E90" s="16" t="inlineStr">
        <is>
          <t>manager</t>
        </is>
      </c>
      <c r="F90" s="16" t="inlineStr">
        <is>
          <t>POST /api/v1/backoffice/users; PATCH users/{id} (portal role; no role)</t>
        </is>
      </c>
      <c r="G90" s="16" t="inlineStr">
        <is>
          <t>HTTP 201 with a 17-character temporary password; assigning a portal role → 422 INVALID_ROLE; no role → 422 ROLE_REQUIRED</t>
        </is>
      </c>
      <c r="H90" s="16" t="inlineStr">
        <is>
          <t>201 temp password length=17 | 422 INVALID_ROLE – Only backoffice roles can be assigned to this user | 422 ROLE_REQUIRED – Assign at least one role</t>
        </is>
      </c>
      <c r="I90" s="17" t="inlineStr">
        <is>
          <t>Passed</t>
        </is>
      </c>
    </row>
    <row r="91">
      <c r="A91" s="16" t="inlineStr">
        <is>
          <t>API run RIR5X2</t>
        </is>
      </c>
      <c r="B91" s="16" t="inlineStr">
        <is>
          <t>2026-10-02 22:13:51 UTC</t>
        </is>
      </c>
      <c r="C91" s="16" t="inlineStr">
        <is>
          <t>iorta TechNXT QA (API run)</t>
        </is>
      </c>
      <c r="D91" s="16" t="inlineStr">
        <is>
          <t>EX-111 – Administrators cannot disable their own account, reset their own password or change their own roles</t>
        </is>
      </c>
      <c r="E91" s="16" t="inlineStr">
        <is>
          <t>manager</t>
        </is>
      </c>
      <c r="F91" s="16" t="inlineStr">
        <is>
          <t>PUT users/d169f8bf-c5a9-4fb6-9e97-d6227e5873cd/status; POST users/d169f8bf-c5a9-4fb6-9e97-d6227e5873cd/reset-password; PATCH users/d169f8bf-c5a9-4fb6-9e97-d6227e5873cd</t>
        </is>
      </c>
      <c r="G91" s="16" t="inlineStr">
        <is>
          <t>HTTP 422 SELF_STATUS_CHANGE; 422 SELF_RESET; 422 SELF_ROLE_CHANGE</t>
        </is>
      </c>
      <c r="H91" s="16" t="inlineStr">
        <is>
          <t>422 SELF_STATUS_CHANGE – You cannot change the status of your own account | 422 SELF_RESET – Use "Change password" for your own account | 422 SELF_ROLE_CHANGE – You cannot change your own roles</t>
        </is>
      </c>
      <c r="I91" s="17" t="inlineStr">
        <is>
          <t>Passed</t>
        </is>
      </c>
    </row>
    <row r="92">
      <c r="A92" s="16" t="inlineStr">
        <is>
          <t>API run RIR5X2</t>
        </is>
      </c>
      <c r="B92" s="16" t="inlineStr">
        <is>
          <t>2026-10-02 22:13:51 UTC</t>
        </is>
      </c>
      <c r="C92" s="16" t="inlineStr">
        <is>
          <t>iorta TechNXT QA (API run)</t>
        </is>
      </c>
      <c r="D92" s="16" t="inlineStr">
        <is>
          <t>EX-112 – Role management: permissions must match the audience; system roles cannot be deleted</t>
        </is>
      </c>
      <c r="E92" s="16" t="inlineStr">
        <is>
          <t>manager</t>
        </is>
      </c>
      <c r="F92" s="16" t="inlineStr">
        <is>
          <t>POST /api/v1/backoffice/roles ×2; DELETE roles/{system}; DELETE roles/{new}</t>
        </is>
      </c>
      <c r="G92" s="16" t="inlineStr">
        <is>
          <t>Role with a portal permission for a back-office audience → 422 INVALID_PERMISSION; valid role → 201; DELETE system role → 422 SYSTEM_ROLE; DELETE the new role → 200/204</t>
        </is>
      </c>
      <c r="H92" s="16" t="inlineStr">
        <is>
          <t>422 INVALID_PERMISSION – Permissions not valid for a backoffice role [portal.dashboard] | 201 | 422 SYSTEM_ROLE – System roles cannot be deleted | 204</t>
        </is>
      </c>
      <c r="I92" s="17" t="inlineStr">
        <is>
          <t>Passed</t>
        </is>
      </c>
    </row>
    <row r="93">
      <c r="A93" s="16" t="inlineStr">
        <is>
          <t>API run RIR5X2</t>
        </is>
      </c>
      <c r="B93" s="16" t="inlineStr">
        <is>
          <t>2026-10-02 22:13:51 UTC</t>
        </is>
      </c>
      <c r="C93" s="16" t="inlineStr">
        <is>
          <t>iorta TechNXT QA (API run)</t>
        </is>
      </c>
      <c r="D93" s="16" t="inlineStr">
        <is>
          <t>EX-113 – Business parameters are range-checked and every change is audited</t>
        </is>
      </c>
      <c r="E93" s="16" t="inlineStr">
        <is>
          <t>manager</t>
        </is>
      </c>
      <c r="F93" s="16" t="inlineStr">
        <is>
          <t>PUT /api/v1/backoffice/config/parameters/billing.payment_grace_days (0; 10; 7); GET /api/v1/backoffice/audit?entityType=ConfigParameter</t>
        </is>
      </c>
      <c r="G93" s="16" t="inlineStr">
        <is>
          <t>billing.payment_grace_days = 0 → 422 INVALID_PARAMETER; = 10 → 200; restored to 7; audit trail shows PARAMETER_UPDATED by manager with before/after values</t>
        </is>
      </c>
      <c r="H93" s="16" t="inlineStr">
        <is>
          <t>422 INVALID_PARAMETER – Value must be at least 1 | 200 | 200 | audit PARAMETER_UPDATED by manager before={"value":"10"} after={"value":"7"}</t>
        </is>
      </c>
      <c r="I93" s="17" t="inlineStr">
        <is>
          <t>Passed</t>
        </is>
      </c>
    </row>
    <row r="94">
      <c r="A94" s="16" t="inlineStr">
        <is>
          <t>API run RIR5X2</t>
        </is>
      </c>
      <c r="B94" s="16" t="inlineStr">
        <is>
          <t>2026-10-02 22:13:51 UTC</t>
        </is>
      </c>
      <c r="C94" s="16" t="inlineStr">
        <is>
          <t>iorta TechNXT QA (API run)</t>
        </is>
      </c>
      <c r="D94" s="16" t="inlineStr">
        <is>
          <t>EX-114 – Master data: a new code is created, deactivated and then refused in business transactions</t>
        </is>
      </c>
      <c r="E94" s="16" t="inlineStr">
        <is>
          <t>manager, ag-000001</t>
        </is>
      </c>
      <c r="F94" s="16" t="inlineStr">
        <is>
          <t>POST /api/v1/backoffice/config/codes; PATCH codes/{id}; POST /api/v1/portal/policies/{id}/endorsements</t>
        </is>
      </c>
      <c r="G94" s="16" t="inlineStr">
        <is>
          <t>POST codes → 201; PATCH active=false → 200; endorsement with the inactive type → 422 INVALID_CODE</t>
        </is>
      </c>
      <c r="H94" s="16" t="inlineStr">
        <is>
          <t>201 | 200 active=false | 422 INVALID_CODE – "TEST_RIR5X2" is not a valid endorsement type</t>
        </is>
      </c>
      <c r="I94" s="17" t="inlineStr">
        <is>
          <t>Passed</t>
        </is>
      </c>
    </row>
    <row r="95">
      <c r="A95" s="16" t="inlineStr">
        <is>
          <t>API run RIR5X2</t>
        </is>
      </c>
      <c r="B95" s="16" t="inlineStr">
        <is>
          <t>2026-10-02 22:13:51 UTC</t>
        </is>
      </c>
      <c r="C95" s="16" t="inlineStr">
        <is>
          <t>iorta TechNXT QA (API run)</t>
        </is>
      </c>
      <c r="D95" s="16" t="inlineStr">
        <is>
          <t>EX-115 – Workflow configuration: eight workflows; steps must use approval permissions</t>
        </is>
      </c>
      <c r="E95" s="16" t="inlineStr">
        <is>
          <t>manager</t>
        </is>
      </c>
      <c r="F95" s="16" t="inlineStr">
        <is>
          <t>GET /api/v1/backoffice/workflows; PUT /api/v1/backoffice/workflows/PARTICIPANT_UPDATE</t>
        </is>
      </c>
      <c r="G95" s="16" t="inlineStr">
        <is>
          <t>GET /backoffice/workflows → 8; PUT with a non-approval permission → 422; valid change → 200</t>
        </is>
      </c>
      <c r="H95" s="16" t="inlineStr">
        <is>
          <t>8 workflows | 422 INVALID_STEP_PERMISSION – "bo.users.manage" is not an approval permission | 200</t>
        </is>
      </c>
      <c r="I95" s="17" t="inlineStr">
        <is>
          <t>Passed</t>
        </is>
      </c>
    </row>
    <row r="96">
      <c r="A96" s="16" t="inlineStr">
        <is>
          <t>API run RIR5X2</t>
        </is>
      </c>
      <c r="B96" s="16" t="inlineStr">
        <is>
          <t>2026-10-02 22:13:51 UTC</t>
        </is>
      </c>
      <c r="C96" s="16" t="inlineStr">
        <is>
          <t>iorta TechNXT QA (API run)</t>
        </is>
      </c>
      <c r="D96" s="16" t="inlineStr">
        <is>
          <t>EX-116 – Audit trail search by actor, action and entity; facets</t>
        </is>
      </c>
      <c r="E96" s="16" t="inlineStr">
        <is>
          <t>manager, compliance</t>
        </is>
      </c>
      <c r="F96" s="16" t="inlineStr">
        <is>
          <t>GET /api/v1/backoffice/audit?actor=manager; ?action=LOGIN_FAILED; GET audit/facets; audit as ops.maker</t>
        </is>
      </c>
      <c r="G96" s="16" t="inlineStr">
        <is>
          <t>GET /backoffice/audit?actor=manager → 200 only manager entries; ?action=LOGIN_FAILED → entries with IP; GET facets → 200; ops.maker → 403</t>
        </is>
      </c>
      <c r="H96" s="16" t="inlineStr">
        <is>
          <t>200 onlyManager=true | LOGIN_FAILED items=5 withIp=true | facets 200 | 403</t>
        </is>
      </c>
      <c r="I96" s="17" t="inlineStr">
        <is>
          <t>Passed</t>
        </is>
      </c>
    </row>
    <row r="97">
      <c r="A97" s="16" t="inlineStr">
        <is>
          <t>API run RIR5X2</t>
        </is>
      </c>
      <c r="B97" s="16" t="inlineStr">
        <is>
          <t>2026-10-02 22:13:51 UTC</t>
        </is>
      </c>
      <c r="C97" s="16" t="inlineStr">
        <is>
          <t>iorta TechNXT QA (API run)</t>
        </is>
      </c>
      <c r="D97" s="16" t="inlineStr">
        <is>
          <t>EX-117 – Product configuration is maintainable without code changes</t>
        </is>
      </c>
      <c r="E97" s="16" t="inlineStr">
        <is>
          <t>manager</t>
        </is>
      </c>
      <c r="F97" s="16" t="inlineStr">
        <is>
          <t>GET /api/v1/backoffice/products; PUT products/cad06114-b5a9-48c7-ba8c-0d25df5c15a4 (plans=[]; unchanged)</t>
        </is>
      </c>
      <c r="G97" s="16" t="inlineStr">
        <is>
          <t>GET /backoffice/products → 7; PUT with an invalid rate table → 422 INVALID_PRODUCT_CONFIG; PUT with the unchanged configuration → 200</t>
        </is>
      </c>
      <c r="H97" s="16" t="inlineStr">
        <is>
          <t>7 products | 422 INVALID_PRODUCT_CONFIG – config.plans must be a non-empty array | 200</t>
        </is>
      </c>
      <c r="I97" s="17" t="inlineStr">
        <is>
          <t>Passed</t>
        </is>
      </c>
    </row>
    <row r="98">
      <c r="A98" s="16" t="inlineStr">
        <is>
          <t>API run RIR5X2</t>
        </is>
      </c>
      <c r="B98" s="16" t="inlineStr">
        <is>
          <t>2026-10-02 22:13:51 UTC</t>
        </is>
      </c>
      <c r="C98" s="16" t="inlineStr">
        <is>
          <t>iorta TechNXT QA (API run)</t>
        </is>
      </c>
      <c r="D98" s="16" t="inlineStr">
        <is>
          <t>EX-118 – Document review: segregation of duties and mandatory rejection remarks</t>
        </is>
      </c>
      <c r="E98" s="16" t="inlineStr">
        <is>
          <t>ops.checker, ag-000001</t>
        </is>
      </c>
      <c r="F98" s="16" t="inlineStr">
        <is>
          <t>POST /api/v1/backoffice/documents/f42ac035-eb19-4864-9631-ac744b94fc21/review (REJECTED no remarks; VERIFIED)</t>
        </is>
      </c>
      <c r="G98" s="16" t="inlineStr">
        <is>
          <t>Reject without remarks → 422 REMARKS_REQUIRED; verify the agent’s IC copy → 200/201 status VERIFIED; the uploader sees the status</t>
        </is>
      </c>
      <c r="H98" s="16" t="inlineStr">
        <is>
          <t>422 REMARKS_REQUIRED – Please give a reason for rejecting the document | 201 VERIFIED | uploader sees VERIFIED</t>
        </is>
      </c>
      <c r="I98" s="17" t="inlineStr">
        <is>
          <t>Passed</t>
        </is>
      </c>
    </row>
    <row r="99">
      <c r="A99" s="16" t="inlineStr">
        <is>
          <t>API run RIR5X2</t>
        </is>
      </c>
      <c r="B99" s="16" t="inlineStr">
        <is>
          <t>2026-10-02 22:13:51 UTC</t>
        </is>
      </c>
      <c r="C99" s="16" t="inlineStr">
        <is>
          <t>iorta TechNXT QA (API run)</t>
        </is>
      </c>
      <c r="D99" s="16" t="inlineStr">
        <is>
          <t>EX-119 – Documents of another agency cannot be downloaded</t>
        </is>
      </c>
      <c r="E99" s="16" t="inlineStr">
        <is>
          <t>ag-000003</t>
        </is>
      </c>
      <c r="F99" s="16" t="inlineStr">
        <is>
          <t>GET /api/v1/common/documents/f42ac035-eb19-4864-9631-ac744b94fc21/content (ag-000003)</t>
        </is>
      </c>
      <c r="G99" s="16" t="inlineStr">
        <is>
          <t>GET /common/documents/{id}/content → 403 (or 404)</t>
        </is>
      </c>
      <c r="H99" s="16" t="inlineStr">
        <is>
          <t>403 FORBIDDEN – You do not have access to this document</t>
        </is>
      </c>
      <c r="I99" s="17" t="inlineStr">
        <is>
          <t>Passed</t>
        </is>
      </c>
    </row>
    <row r="100">
      <c r="A100" s="16" t="inlineStr">
        <is>
          <t>API run RIR5X2</t>
        </is>
      </c>
      <c r="B100" s="16" t="inlineStr">
        <is>
          <t>2026-10-02 22:13:51 UTC</t>
        </is>
      </c>
      <c r="C100" s="16" t="inlineStr">
        <is>
          <t>iorta TechNXT QA (API run)</t>
        </is>
      </c>
      <c r="D100" s="16" t="inlineStr">
        <is>
          <t>EX-120 – End-of-day cannot run for a future date and is restricted to Finance</t>
        </is>
      </c>
      <c r="E100" s="16" t="inlineStr">
        <is>
          <t>finance, ops.maker</t>
        </is>
      </c>
      <c r="F100" s="16" t="inlineStr">
        <is>
          <t>POST /api/v1/backoffice/eod (tomorrow; as ops.maker)</t>
        </is>
      </c>
      <c r="G100" s="16" t="inlineStr">
        <is>
          <t>POST /backoffice/eod tomorrow → 422 FUTURE_DATE; ops.maker → 403</t>
        </is>
      </c>
      <c r="H100" s="16" t="inlineStr">
        <is>
          <t>422 FUTURE_DATE – End-of-day cannot run for a future date | 403</t>
        </is>
      </c>
      <c r="I100" s="17" t="inlineStr">
        <is>
          <t>Passed</t>
        </is>
      </c>
    </row>
    <row r="101">
      <c r="A101" s="16" t="inlineStr">
        <is>
          <t>API run RIR5X2</t>
        </is>
      </c>
      <c r="B101" s="16" t="inlineStr">
        <is>
          <t>2026-10-02 22:13:51 UTC</t>
        </is>
      </c>
      <c r="C101" s="16" t="inlineStr">
        <is>
          <t>iorta TechNXT QA (API run)</t>
        </is>
      </c>
      <c r="D101" s="16" t="inlineStr">
        <is>
          <t>EX-121 – End-of-day runs for today and produces the EOD report and FIN file; a re-run replaces the revision</t>
        </is>
      </c>
      <c r="E101" s="16" t="inlineStr">
        <is>
          <t>finance</t>
        </is>
      </c>
      <c r="F101" s="16" t="inlineStr">
        <is>
          <t>POST /api/v1/backoffice/eod ×2; GET /api/v1/common/documents/{finFile}/content; GET /api/v1/backoffice/eod</t>
        </is>
      </c>
      <c r="G101" s="16" t="inlineStr">
        <is>
          <t>HTTP 201 COMPLETED with reportDocumentId and finFileDocumentId; second run returns the same run id; the FIN file contains record_type lines</t>
        </is>
      </c>
      <c r="H101" s="16" t="inlineStr">
        <is>
          <t>201 COMPLETED policies=19 | same id=true | FIN file 200 has record_type=true | runs 200</t>
        </is>
      </c>
      <c r="I101" s="17" t="inlineStr">
        <is>
          <t>Passed</t>
        </is>
      </c>
    </row>
    <row r="102">
      <c r="A102" s="16" t="inlineStr">
        <is>
          <t>API run RIR5X2</t>
        </is>
      </c>
      <c r="B102" s="16" t="inlineStr">
        <is>
          <t>2026-10-02 22:13:51 UTC</t>
        </is>
      </c>
      <c r="C102" s="16" t="inlineStr">
        <is>
          <t>iorta TechNXT QA (API run)</t>
        </is>
      </c>
      <c r="D102" s="16" t="inlineStr">
        <is>
          <t>EX-122 – EOD postings carry revision-based idempotency keys</t>
        </is>
      </c>
      <c r="E102" s="16" t="inlineStr">
        <is>
          <t>finance</t>
        </is>
      </c>
      <c r="F102" s="16" t="inlineStr">
        <is>
          <t>GET /api/v1/backoffice/integration/outbox?system=FINANCE</t>
        </is>
      </c>
      <c r="G102" s="16" t="inlineStr">
        <is>
          <t>Outbox shows EOD_POSTING messages for today with idempotencyKey EOD-&lt;date&gt;-R&lt;n&gt; and increasing revisions</t>
        </is>
      </c>
      <c r="H102" s="16" t="inlineStr">
        <is>
          <t>keys=EOD-2026-10-03-R11,EOD-2026-10-03-R10,EOD-2026-10-03-R9,EOD-2026-10-03-R8,EOD-2026-10-03-R7,EOD-2026-10-03-R6,EOD-2026-10-03-R5,EOD-2026-10-03-R4,EOD-2026-10-03-R3,EOD-2026-10-03-R2,EOD-2026-10-03-R1</t>
        </is>
      </c>
      <c r="I102" s="17" t="inlineStr">
        <is>
          <t>Passed</t>
        </is>
      </c>
    </row>
    <row r="103">
      <c r="A103" s="16" t="inlineStr">
        <is>
          <t>API run RIR5X2</t>
        </is>
      </c>
      <c r="B103" s="16" t="inlineStr">
        <is>
          <t>2026-10-02 22:13:51 UTC</t>
        </is>
      </c>
      <c r="C103" s="16" t="inlineStr">
        <is>
          <t>iorta TechNXT QA (API run)</t>
        </is>
      </c>
      <c r="D103" s="16" t="inlineStr">
        <is>
          <t>EX-123 – Integration monitor: summary per system, outbox and logs</t>
        </is>
      </c>
      <c r="E103" s="16" t="inlineStr">
        <is>
          <t>finance</t>
        </is>
      </c>
      <c r="F103" s="16" t="inlineStr">
        <is>
          <t>GET /api/v1/backoffice/integration/summary; outbox?status=SENT; logs?system=FINANCE</t>
        </is>
      </c>
      <c r="G103" s="16" t="inlineStr">
        <is>
          <t>GET summary → 200 with FINANCE successCount &gt; 0; GET outbox?status=SENT → 200; GET logs?system=FINANCE → 200 with request summaries</t>
        </is>
      </c>
      <c r="H103" s="16" t="inlineStr">
        <is>
          <t>200 FINANCE success=122 failed=0 | sent 200 282 | logs 200 122</t>
        </is>
      </c>
      <c r="I103" s="17" t="inlineStr">
        <is>
          <t>Passed</t>
        </is>
      </c>
    </row>
    <row r="104">
      <c r="A104" s="16" t="inlineStr">
        <is>
          <t>API run RIR5X2</t>
        </is>
      </c>
      <c r="B104" s="16" t="inlineStr">
        <is>
          <t>2026-10-02 22:14:12 UTC</t>
        </is>
      </c>
      <c r="C104" s="16" t="inlineStr">
        <is>
          <t>iorta TechNXT QA (API run)</t>
        </is>
      </c>
      <c r="D104" s="16" t="inlineStr">
        <is>
          <t>EX-124 – Daily reconciliation with FIN</t>
        </is>
      </c>
      <c r="E104" s="16" t="inlineStr">
        <is>
          <t>finance</t>
        </is>
      </c>
      <c r="F104" s="16" t="inlineStr">
        <is>
          <t>POST /api/v1/backoffice/integration/reconciliations; GET …/reconciliations</t>
        </is>
      </c>
      <c r="G104" s="16" t="inlineStr">
        <is>
          <t>POST reconciliations for today → 201 with status MATCHED; GET reconciliations lists it</t>
        </is>
      </c>
      <c r="H104" s="16" t="inlineStr">
        <is>
          <t>201 MATCHED | list 200 17</t>
        </is>
      </c>
      <c r="I104" s="17" t="inlineStr">
        <is>
          <t>Passed</t>
        </is>
      </c>
    </row>
    <row r="105">
      <c r="A105" s="16" t="inlineStr">
        <is>
          <t>API run RIR5X2</t>
        </is>
      </c>
      <c r="B105" s="16" t="inlineStr">
        <is>
          <t>2026-10-02 22:14:12 UTC</t>
        </is>
      </c>
      <c r="C105" s="16" t="inlineStr">
        <is>
          <t>iorta TechNXT QA (API run)</t>
        </is>
      </c>
      <c r="D105" s="16" t="inlineStr">
        <is>
          <t>EX-125 – Only failed or dead-lettered messages can be retried</t>
        </is>
      </c>
      <c r="E105" s="16" t="inlineStr">
        <is>
          <t>finance</t>
        </is>
      </c>
      <c r="F105" s="16" t="inlineStr">
        <is>
          <t>POST /api/v1/backoffice/integration/outbox/b8dd644f-6402-423a-bfab-4a1db8670b4d/retry</t>
        </is>
      </c>
      <c r="G105" s="16" t="inlineStr">
        <is>
          <t>POST outbox/{sent message}/retry → 422 (or 409)</t>
        </is>
      </c>
      <c r="H105" s="16" t="inlineStr">
        <is>
          <t>422 ALREADY_SENT – This message has already been delivered</t>
        </is>
      </c>
      <c r="I105" s="17" t="inlineStr">
        <is>
          <t>Passed</t>
        </is>
      </c>
    </row>
    <row r="106">
      <c r="A106" s="16" t="inlineStr">
        <is>
          <t>API run RIR5X2</t>
        </is>
      </c>
      <c r="B106" s="16" t="inlineStr">
        <is>
          <t>2026-10-02 22:14:12 UTC</t>
        </is>
      </c>
      <c r="C106" s="16" t="inlineStr">
        <is>
          <t>iorta TechNXT QA (API run)</t>
        </is>
      </c>
      <c r="D106" s="16" t="inlineStr">
        <is>
          <t>EX-126 – Inbound system-to-system API requires a valid key</t>
        </is>
      </c>
      <c r="E106" s="16" t="inlineStr">
        <is>
          <t>anonymous / Core system</t>
        </is>
      </c>
      <c r="F106" s="16" t="inlineStr">
        <is>
          <t>GET /api/v1/integration/policies?issuedOn (no key; wrong key; valid key)</t>
        </is>
      </c>
      <c r="G106" s="16" t="inlineStr">
        <is>
          <t>No key → 401; wrong key → 401; valid key → 200 with the policies issued on a date</t>
        </is>
      </c>
      <c r="H106" s="16" t="inlineStr">
        <is>
          <t>401 | 401 | 200 items=19</t>
        </is>
      </c>
      <c r="I106" s="17" t="inlineStr">
        <is>
          <t>Passed</t>
        </is>
      </c>
    </row>
    <row r="107">
      <c r="A107" s="16" t="inlineStr">
        <is>
          <t>API run RIR5X2</t>
        </is>
      </c>
      <c r="B107" s="16" t="inlineStr">
        <is>
          <t>2026-10-02 22:14:12 UTC</t>
        </is>
      </c>
      <c r="C107" s="16" t="inlineStr">
        <is>
          <t>iorta TechNXT QA (API run)</t>
        </is>
      </c>
      <c r="D107" s="16" t="inlineStr">
        <is>
          <t>EX-127 – Inbound data is validated: unknown agent code and malformed commission payload are refused</t>
        </is>
      </c>
      <c r="E107" s="16" t="inlineStr">
        <is>
          <t>Core / FIN system</t>
        </is>
      </c>
      <c r="F107" s="16" t="inlineStr">
        <is>
          <t>PUT /api/v1/integration/agents/AG-999999/status; POST /api/v1/integration/commissions/paid (items: "nope")</t>
        </is>
      </c>
      <c r="G107" s="16" t="inlineStr">
        <is>
          <t>PUT integration/agents/{unknown}/status → 404; POST integration/commissions/paid with a bad body → 400</t>
        </is>
      </c>
      <c r="H107" s="16" t="inlineStr">
        <is>
          <t>404 NOT_FOUND – Agent not found | 400 BAD_REQUEST – Some fields are invalid [items must contain no more than 1000 elements; items must be an array; each value in nested property items must be either object or array]</t>
        </is>
      </c>
      <c r="I107" s="17" t="inlineStr">
        <is>
          <t>Passed</t>
        </is>
      </c>
    </row>
    <row r="108">
      <c r="A108" s="16" t="inlineStr">
        <is>
          <t>API run RIR5X2</t>
        </is>
      </c>
      <c r="B108" s="16" t="inlineStr">
        <is>
          <t>2026-10-02 22:14:12 UTC</t>
        </is>
      </c>
      <c r="C108" s="16" t="inlineStr">
        <is>
          <t>iorta TechNXT QA (API run)</t>
        </is>
      </c>
      <c r="D108" s="16" t="inlineStr">
        <is>
          <t>EX-128 – In-app notifications: list, unread count, mark one and mark all read</t>
        </is>
      </c>
      <c r="E108" s="16" t="inlineStr">
        <is>
          <t>ag-000001</t>
        </is>
      </c>
      <c r="F108" s="16" t="inlineStr">
        <is>
          <t>GET /api/v1/common/notifications; GET unread-count; POST {id}/read; POST read-all</t>
        </is>
      </c>
      <c r="G108" s="16" t="inlineStr">
        <is>
          <t>GET notifications → 200 items with policy/approval events; unread-count → 200; POST {id}/read → 200/204; read-all → 204 and unread-count 0</t>
        </is>
      </c>
      <c r="H108" s="16" t="inlineStr">
        <is>
          <t>200 items=20 | before {"count":12} | 204 | 204 | after {"count":0}</t>
        </is>
      </c>
      <c r="I108" s="17" t="inlineStr">
        <is>
          <t>Passed</t>
        </is>
      </c>
    </row>
    <row r="109">
      <c r="A109" s="16" t="inlineStr">
        <is>
          <t>API run RIR5X2</t>
        </is>
      </c>
      <c r="B109" s="16" t="inlineStr">
        <is>
          <t>2026-10-02 22:14:12 UTC</t>
        </is>
      </c>
      <c r="C109" s="16" t="inlineStr">
        <is>
          <t>iorta TechNXT QA (API run)</t>
        </is>
      </c>
      <c r="D109" s="16" t="inlineStr">
        <is>
          <t>EX-129 – Policy issuance produced the Core and FIN messages</t>
        </is>
      </c>
      <c r="E109" s="16" t="inlineStr">
        <is>
          <t>finance</t>
        </is>
      </c>
      <c r="F109" s="16" t="inlineStr">
        <is>
          <t>GET /api/v1/backoffice/integration/outbox?system=CORE|FINANCE (all pages)</t>
        </is>
      </c>
      <c r="G109" s="16" t="inlineStr">
        <is>
          <t>Outbox contains a POLICY_ISSUED message for the policy and a RECEIPT_POSTED message for its receipt (EX-043)</t>
        </is>
      </c>
      <c r="H109" s="16" t="inlineStr">
        <is>
          <t>messages for PRO/26/000058/QT/26/000076: CORE:CLAIM_NOTIFIED:SENT, CORE:POLICY_ENDORSED:SENT, CORE:POLICY_ISSUED:SENT, FINANCE:EOD_POSTING:SENT, FINANCE:COMMISSION_ACCRUED:SENT, FINANCE:RECEIPT_POSTED:SENT</t>
        </is>
      </c>
      <c r="I109" s="17" t="inlineStr">
        <is>
          <t>Passed</t>
        </is>
      </c>
    </row>
    <row r="110">
      <c r="A110" s="16" t="inlineStr">
        <is>
          <t>API run RIR5X2</t>
        </is>
      </c>
      <c r="B110" s="16" t="inlineStr">
        <is>
          <t>2026-10-02 22:14:12 UTC</t>
        </is>
      </c>
      <c r="C110" s="16" t="inlineStr">
        <is>
          <t>iorta TechNXT QA (API run)</t>
        </is>
      </c>
      <c r="D110" s="16" t="inlineStr">
        <is>
          <t>EX-130 – Unknown routes and malformed JSON return generic errors with a correlation id</t>
        </is>
      </c>
      <c r="E110" s="16" t="inlineStr">
        <is>
          <t>anonymous</t>
        </is>
      </c>
      <c r="F110" s="16" t="inlineStr">
        <is>
          <t>GET /api/v1/nothing-here; POST /api/v1/auth/login with broken JSON</t>
        </is>
      </c>
      <c r="G110" s="16" t="inlineStr">
        <is>
          <t>GET /api/v1/nothing → 404 JSON with code and no framework detail; malformed JSON → 400 without a stack trace; X-Request-Id on every response</t>
        </is>
      </c>
      <c r="H110" s="16" t="inlineStr">
        <is>
          <t>404 NOT_FOUND – Cannot GET /api/v1/nothing-here req-id=yes | 400 BAD_REQUEST – Unexpected end of JSON input</t>
        </is>
      </c>
      <c r="I110" s="17" t="inlineStr">
        <is>
          <t>Passed</t>
        </is>
      </c>
    </row>
    <row r="111">
      <c r="A111" s="16" t="inlineStr">
        <is>
          <t>API run RIR5X2</t>
        </is>
      </c>
      <c r="B111" s="16" t="inlineStr">
        <is>
          <t>2026-10-02 22:14:12 UTC</t>
        </is>
      </c>
      <c r="C111" s="16" t="inlineStr">
        <is>
          <t>iorta TechNXT QA (API run)</t>
        </is>
      </c>
      <c r="D111" s="16" t="inlineStr">
        <is>
          <t>EX-131 – Security headers and health endpoints</t>
        </is>
      </c>
      <c r="E111" s="16" t="inlineStr">
        <is>
          <t>anonymous</t>
        </is>
      </c>
      <c r="F111" s="16" t="inlineStr">
        <is>
          <t>GET /health/live; GET /health/ready</t>
        </is>
      </c>
      <c r="G111" s="16" t="inlineStr">
        <is>
          <t>GET /health/live and /health/ready → 200; nosniff, HSTS and CSP present; X-Powered-By absent</t>
        </is>
      </c>
      <c r="H111" s="16" t="inlineStr">
        <is>
          <t>200 200 db=up; nosniff=nosniff hsts=true csp=true powered-by=absent</t>
        </is>
      </c>
      <c r="I111" s="17" t="inlineStr">
        <is>
          <t>Passed</t>
        </is>
      </c>
    </row>
    <row r="112">
      <c r="A112" s="16" t="inlineStr">
        <is>
          <t>API run RIR5X2</t>
        </is>
      </c>
      <c r="B112" s="16" t="inlineStr">
        <is>
          <t>2026-10-02 22:14:12 UTC</t>
        </is>
      </c>
      <c r="C112" s="16" t="inlineStr">
        <is>
          <t>iorta TechNXT QA (API run)</t>
        </is>
      </c>
      <c r="D112" s="16" t="inlineStr">
        <is>
          <t>EX-132 – API documentation is served in the test environment only when enabled</t>
        </is>
      </c>
      <c r="E112" s="16" t="inlineStr">
        <is>
          <t>anonymous</t>
        </is>
      </c>
      <c r="F112" s="16" t="inlineStr">
        <is>
          <t>GET /api/docs</t>
        </is>
      </c>
      <c r="G112" s="16" t="inlineStr">
        <is>
          <t>GET /api/docs → 200 (API_DOCS_ENABLED=true in test) or 404 when disabled</t>
        </is>
      </c>
      <c r="H112" s="16" t="inlineStr">
        <is>
          <t>200</t>
        </is>
      </c>
      <c r="I112" s="17" t="inlineStr">
        <is>
          <t>Passed</t>
        </is>
      </c>
    </row>
    <row r="113">
      <c r="A113" s="16" t="inlineStr">
        <is>
          <t>API run RIR5X2</t>
        </is>
      </c>
      <c r="B113" s="16" t="inlineStr">
        <is>
          <t>2026-10-02 22:14:12 UTC</t>
        </is>
      </c>
      <c r="C113" s="16" t="inlineStr">
        <is>
          <t>iorta TechNXT QA (API run)</t>
        </is>
      </c>
      <c r="D113" s="16" t="inlineStr">
        <is>
          <t>EX-133 – Account lockout after the configured failed attempts; administrator unlock</t>
        </is>
      </c>
      <c r="E113" s="16" t="inlineStr">
        <is>
          <t>qa user, manager</t>
        </is>
      </c>
      <c r="F113" s="16" t="inlineStr">
        <is>
          <t>POST /api/v1/auth/login ×6; POST /api/v1/backoffice/users/{id}/unlock; sign-in; GET /api/v1/backoffice/users; disable the test user</t>
        </is>
      </c>
      <c r="G113" s="16" t="inlineStr">
        <is>
          <t>5 wrong passwords → 401; the correct password then → 401 ACCOUNT_LOCKED; unlock → 200; sign-in → 200 and back-office access refused with 403 PASSWORD_CHANGE_REQUIRED until the temporary password is changed</t>
        </is>
      </c>
      <c r="H113" s="16" t="inlineStr">
        <is>
          <t>401,401,401,401,401 | 401 ACCOUNT_LOCKED – Your account is temporarily locked after repeated failed sign-in attempts. Try again later or contact the administrator. | unlock 200 | sign-in 200 mustChangePassword=true | 403 PASSWORD_CHANGE_REQUIRED – You must change your password before continuing | disabled 200</t>
        </is>
      </c>
      <c r="I113" s="17" t="inlineStr">
        <is>
          <t>Passed</t>
        </is>
      </c>
    </row>
    <row r="114">
      <c r="A114" s="16" t="inlineStr">
        <is>
          <t>API run RIR5X2</t>
        </is>
      </c>
      <c r="B114" s="16" t="inlineStr">
        <is>
          <t>2026-10-02 22:15:14 UTC</t>
        </is>
      </c>
      <c r="C114" s="16" t="inlineStr">
        <is>
          <t>iorta TechNXT QA (API run)</t>
        </is>
      </c>
      <c r="D114" s="16" t="inlineStr">
        <is>
          <t>EX-134 – Administrator password reset issues a new temporary password; disabled accounts cannot sign in</t>
        </is>
      </c>
      <c r="E114" s="16" t="inlineStr">
        <is>
          <t>manager, qa user</t>
        </is>
      </c>
      <c r="F114" s="16" t="inlineStr">
        <is>
          <t>POST /api/v1/backoffice/users/443b7199-eeb0-45dd-be3f-463ae22d8631/reset-password; POST /api/v1/auth/login (disabled user)</t>
        </is>
      </c>
      <c r="G114" s="16" t="inlineStr">
        <is>
          <t>POST users/{id}/reset-password → 200 with a 17-character temporary password; sign-in of the disabled account → 401</t>
        </is>
      </c>
      <c r="H114" s="16" t="inlineStr">
        <is>
          <t>200 temporary password length=17 | 200</t>
        </is>
      </c>
      <c r="I114" s="20" t="inlineStr">
        <is>
          <t>Failed</t>
        </is>
      </c>
    </row>
    <row r="115">
      <c r="A115" s="16" t="inlineStr">
        <is>
          <t>Suite re-run (api-unit)</t>
        </is>
      </c>
      <c r="B115" s="16" t="inlineStr">
        <is>
          <t>2026-10-02 21:45:01 UTC</t>
        </is>
      </c>
      <c r="C115" s="16" t="inlineStr">
        <is>
          <t>iorta QA (Vitest)</t>
        </is>
      </c>
      <c r="D115" s="16" t="inlineStr">
        <is>
          <t>AppConfig loads a minimal development configuration with safe defaults</t>
        </is>
      </c>
      <c r="E115" s="16" t="inlineStr">
        <is>
          <t>–</t>
        </is>
      </c>
      <c r="F115" s="16" t="inlineStr">
        <is>
          <t>npm test -w apps/api</t>
        </is>
      </c>
      <c r="G115" s="16" t="inlineStr">
        <is>
          <t>Test passes</t>
        </is>
      </c>
      <c r="H115" s="16" t="inlineStr">
        <is>
          <t>passed</t>
        </is>
      </c>
      <c r="I115" s="17" t="inlineStr">
        <is>
          <t>Passed</t>
        </is>
      </c>
    </row>
    <row r="116">
      <c r="A116" s="16" t="inlineStr">
        <is>
          <t>Suite re-run (api-unit)</t>
        </is>
      </c>
      <c r="B116" s="16" t="inlineStr">
        <is>
          <t>2026-10-02 21:45:01 UTC</t>
        </is>
      </c>
      <c r="C116" s="16" t="inlineStr">
        <is>
          <t>iorta QA (Vitest)</t>
        </is>
      </c>
      <c r="D116" s="16" t="inlineStr">
        <is>
          <t>AppConfig fails fast on missing or weak secrets</t>
        </is>
      </c>
      <c r="E116" s="16" t="inlineStr">
        <is>
          <t>–</t>
        </is>
      </c>
      <c r="F116" s="16" t="inlineStr">
        <is>
          <t>npm test -w apps/api</t>
        </is>
      </c>
      <c r="G116" s="16" t="inlineStr">
        <is>
          <t>Test passes</t>
        </is>
      </c>
      <c r="H116" s="16" t="inlineStr">
        <is>
          <t>passed</t>
        </is>
      </c>
      <c r="I116" s="17" t="inlineStr">
        <is>
          <t>Passed</t>
        </is>
      </c>
    </row>
    <row r="117">
      <c r="A117" s="16" t="inlineStr">
        <is>
          <t>Suite re-run (api-unit)</t>
        </is>
      </c>
      <c r="B117" s="16" t="inlineStr">
        <is>
          <t>2026-10-02 21:45:01 UTC</t>
        </is>
      </c>
      <c r="C117" s="16" t="inlineStr">
        <is>
          <t>iorta QA (Vitest)</t>
        </is>
      </c>
      <c r="D117" s="16" t="inlineStr">
        <is>
          <t>AppConfig refuses insecure production settings</t>
        </is>
      </c>
      <c r="E117" s="16" t="inlineStr">
        <is>
          <t>–</t>
        </is>
      </c>
      <c r="F117" s="16" t="inlineStr">
        <is>
          <t>npm test -w apps/api</t>
        </is>
      </c>
      <c r="G117" s="16" t="inlineStr">
        <is>
          <t>Test passes</t>
        </is>
      </c>
      <c r="H117" s="16" t="inlineStr">
        <is>
          <t>passed</t>
        </is>
      </c>
      <c r="I117" s="17" t="inlineStr">
        <is>
          <t>Passed</t>
        </is>
      </c>
    </row>
    <row r="118">
      <c r="A118" s="16" t="inlineStr">
        <is>
          <t>Suite re-run (api-unit)</t>
        </is>
      </c>
      <c r="B118" s="16" t="inlineStr">
        <is>
          <t>2026-10-02 21:45:01 UTC</t>
        </is>
      </c>
      <c r="C118" s="16" t="inlineStr">
        <is>
          <t>iorta QA (Vitest)</t>
        </is>
      </c>
      <c r="D118" s="16" t="inlineStr">
        <is>
          <t>AppConfig accepts a complete production configuration</t>
        </is>
      </c>
      <c r="E118" s="16" t="inlineStr">
        <is>
          <t>–</t>
        </is>
      </c>
      <c r="F118" s="16" t="inlineStr">
        <is>
          <t>npm test -w apps/api</t>
        </is>
      </c>
      <c r="G118" s="16" t="inlineStr">
        <is>
          <t>Test passes</t>
        </is>
      </c>
      <c r="H118" s="16" t="inlineStr">
        <is>
          <t>passed</t>
        </is>
      </c>
      <c r="I118" s="17" t="inlineStr">
        <is>
          <t>Passed</t>
        </is>
      </c>
    </row>
    <row r="119">
      <c r="A119" s="16" t="inlineStr">
        <is>
          <t>Suite re-run (api-unit)</t>
        </is>
      </c>
      <c r="B119" s="16" t="inlineStr">
        <is>
          <t>2026-10-02 21:45:01 UTC</t>
        </is>
      </c>
      <c r="C119" s="16" t="inlineStr">
        <is>
          <t>iorta QA (Vitest)</t>
        </is>
      </c>
      <c r="D119" s="16" t="inlineStr">
        <is>
          <t>FieldCryptoService round-trips a value and never produces the same ciphertext twice</t>
        </is>
      </c>
      <c r="E119" s="16" t="inlineStr">
        <is>
          <t>–</t>
        </is>
      </c>
      <c r="F119" s="16" t="inlineStr">
        <is>
          <t>npm test -w apps/api</t>
        </is>
      </c>
      <c r="G119" s="16" t="inlineStr">
        <is>
          <t>Test passes</t>
        </is>
      </c>
      <c r="H119" s="16" t="inlineStr">
        <is>
          <t>passed</t>
        </is>
      </c>
      <c r="I119" s="17" t="inlineStr">
        <is>
          <t>Passed</t>
        </is>
      </c>
    </row>
    <row r="120">
      <c r="A120" s="16" t="inlineStr">
        <is>
          <t>Suite re-run (api-unit)</t>
        </is>
      </c>
      <c r="B120" s="16" t="inlineStr">
        <is>
          <t>2026-10-02 21:45:01 UTC</t>
        </is>
      </c>
      <c r="C120" s="16" t="inlineStr">
        <is>
          <t>iorta QA (Vitest)</t>
        </is>
      </c>
      <c r="D120" s="16" t="inlineStr">
        <is>
          <t>FieldCryptoService detects tampering through the authentication tag</t>
        </is>
      </c>
      <c r="E120" s="16" t="inlineStr">
        <is>
          <t>–</t>
        </is>
      </c>
      <c r="F120" s="16" t="inlineStr">
        <is>
          <t>npm test -w apps/api</t>
        </is>
      </c>
      <c r="G120" s="16" t="inlineStr">
        <is>
          <t>Test passes</t>
        </is>
      </c>
      <c r="H120" s="16" t="inlineStr">
        <is>
          <t>passed</t>
        </is>
      </c>
      <c r="I120" s="17" t="inlineStr">
        <is>
          <t>Passed</t>
        </is>
      </c>
    </row>
    <row r="121">
      <c r="A121" s="16" t="inlineStr">
        <is>
          <t>Suite re-run (api-unit)</t>
        </is>
      </c>
      <c r="B121" s="16" t="inlineStr">
        <is>
          <t>2026-10-02 21:45:01 UTC</t>
        </is>
      </c>
      <c r="C121" s="16" t="inlineStr">
        <is>
          <t>iorta QA (Vitest)</t>
        </is>
      </c>
      <c r="D121" s="16" t="inlineStr">
        <is>
          <t>FieldCryptoService produces the same blind index for differently formatted identifiers</t>
        </is>
      </c>
      <c r="E121" s="16" t="inlineStr">
        <is>
          <t>–</t>
        </is>
      </c>
      <c r="F121" s="16" t="inlineStr">
        <is>
          <t>npm test -w apps/api</t>
        </is>
      </c>
      <c r="G121" s="16" t="inlineStr">
        <is>
          <t>Test passes</t>
        </is>
      </c>
      <c r="H121" s="16" t="inlineStr">
        <is>
          <t>passed</t>
        </is>
      </c>
      <c r="I121" s="17" t="inlineStr">
        <is>
          <t>Passed</t>
        </is>
      </c>
    </row>
    <row r="122">
      <c r="A122" s="16" t="inlineStr">
        <is>
          <t>Suite re-run (api-unit)</t>
        </is>
      </c>
      <c r="B122" s="16" t="inlineStr">
        <is>
          <t>2026-10-02 21:45:01 UTC</t>
        </is>
      </c>
      <c r="C122" s="16" t="inlineStr">
        <is>
          <t>iorta QA (Vitest)</t>
        </is>
      </c>
      <c r="D122" s="16" t="inlineStr">
        <is>
          <t>FieldCryptoService normalises and masks identifiers</t>
        </is>
      </c>
      <c r="E122" s="16" t="inlineStr">
        <is>
          <t>–</t>
        </is>
      </c>
      <c r="F122" s="16" t="inlineStr">
        <is>
          <t>npm test -w apps/api</t>
        </is>
      </c>
      <c r="G122" s="16" t="inlineStr">
        <is>
          <t>Test passes</t>
        </is>
      </c>
      <c r="H122" s="16" t="inlineStr">
        <is>
          <t>passed</t>
        </is>
      </c>
      <c r="I122" s="17" t="inlineStr">
        <is>
          <t>Passed</t>
        </is>
      </c>
    </row>
    <row r="123">
      <c r="A123" s="16" t="inlineStr">
        <is>
          <t>Suite re-run (api-unit)</t>
        </is>
      </c>
      <c r="B123" s="16" t="inlineStr">
        <is>
          <t>2026-10-02 21:45:01 UTC</t>
        </is>
      </c>
      <c r="C123" s="16" t="inlineStr">
        <is>
          <t>iorta QA (Vitest)</t>
        </is>
      </c>
      <c r="D123" s="16" t="inlineStr">
        <is>
          <t>date helpers computes age at next birthday</t>
        </is>
      </c>
      <c r="E123" s="16" t="inlineStr">
        <is>
          <t>–</t>
        </is>
      </c>
      <c r="F123" s="16" t="inlineStr">
        <is>
          <t>npm test -w apps/api</t>
        </is>
      </c>
      <c r="G123" s="16" t="inlineStr">
        <is>
          <t>Test passes</t>
        </is>
      </c>
      <c r="H123" s="16" t="inlineStr">
        <is>
          <t>passed</t>
        </is>
      </c>
      <c r="I123" s="17" t="inlineStr">
        <is>
          <t>Passed</t>
        </is>
      </c>
    </row>
    <row r="124">
      <c r="A124" s="16" t="inlineStr">
        <is>
          <t>Suite re-run (api-unit)</t>
        </is>
      </c>
      <c r="B124" s="16" t="inlineStr">
        <is>
          <t>2026-10-02 21:45:01 UTC</t>
        </is>
      </c>
      <c r="C124" s="16" t="inlineStr">
        <is>
          <t>iorta QA (Vitest)</t>
        </is>
      </c>
      <c r="D124" s="16" t="inlineStr">
        <is>
          <t>date helpers uses the Brunei calendar day (UTC+8) as the business date</t>
        </is>
      </c>
      <c r="E124" s="16" t="inlineStr">
        <is>
          <t>–</t>
        </is>
      </c>
      <c r="F124" s="16" t="inlineStr">
        <is>
          <t>npm test -w apps/api</t>
        </is>
      </c>
      <c r="G124" s="16" t="inlineStr">
        <is>
          <t>Test passes</t>
        </is>
      </c>
      <c r="H124" s="16" t="inlineStr">
        <is>
          <t>passed</t>
        </is>
      </c>
      <c r="I124" s="17" t="inlineStr">
        <is>
          <t>Passed</t>
        </is>
      </c>
    </row>
    <row r="125">
      <c r="A125" s="16" t="inlineStr">
        <is>
          <t>Suite re-run (api-unit)</t>
        </is>
      </c>
      <c r="B125" s="16" t="inlineStr">
        <is>
          <t>2026-10-02 21:45:01 UTC</t>
        </is>
      </c>
      <c r="C125" s="16" t="inlineStr">
        <is>
          <t>iorta QA (Vitest)</t>
        </is>
      </c>
      <c r="D125" s="16" t="inlineStr">
        <is>
          <t>date helpers returns the UTC instants bounding a Brunei business day</t>
        </is>
      </c>
      <c r="E125" s="16" t="inlineStr">
        <is>
          <t>–</t>
        </is>
      </c>
      <c r="F125" s="16" t="inlineStr">
        <is>
          <t>npm test -w apps/api</t>
        </is>
      </c>
      <c r="G125" s="16" t="inlineStr">
        <is>
          <t>Test passes</t>
        </is>
      </c>
      <c r="H125" s="16" t="inlineStr">
        <is>
          <t>passed</t>
        </is>
      </c>
      <c r="I125" s="17" t="inlineStr">
        <is>
          <t>Passed</t>
        </is>
      </c>
    </row>
    <row r="126">
      <c r="A126" s="16" t="inlineStr">
        <is>
          <t>Suite re-run (api-unit)</t>
        </is>
      </c>
      <c r="B126" s="16" t="inlineStr">
        <is>
          <t>2026-10-02 21:45:01 UTC</t>
        </is>
      </c>
      <c r="C126" s="16" t="inlineStr">
        <is>
          <t>iorta QA (Vitest)</t>
        </is>
      </c>
      <c r="D126" s="16" t="inlineStr">
        <is>
          <t>date helpers adds months and counts days</t>
        </is>
      </c>
      <c r="E126" s="16" t="inlineStr">
        <is>
          <t>–</t>
        </is>
      </c>
      <c r="F126" s="16" t="inlineStr">
        <is>
          <t>npm test -w apps/api</t>
        </is>
      </c>
      <c r="G126" s="16" t="inlineStr">
        <is>
          <t>Test passes</t>
        </is>
      </c>
      <c r="H126" s="16" t="inlineStr">
        <is>
          <t>passed</t>
        </is>
      </c>
      <c r="I126" s="17" t="inlineStr">
        <is>
          <t>Passed</t>
        </is>
      </c>
    </row>
    <row r="127">
      <c r="A127" s="16" t="inlineStr">
        <is>
          <t>Suite re-run (api-unit)</t>
        </is>
      </c>
      <c r="B127" s="16" t="inlineStr">
        <is>
          <t>2026-10-02 21:45:01 UTC</t>
        </is>
      </c>
      <c r="C127" s="16" t="inlineStr">
        <is>
          <t>iorta QA (Vitest)</t>
        </is>
      </c>
      <c r="D127" s="16" t="inlineStr">
        <is>
          <t>name matching normalises case, punctuation, honorifics and common spellings</t>
        </is>
      </c>
      <c r="E127" s="16" t="inlineStr">
        <is>
          <t>–</t>
        </is>
      </c>
      <c r="F127" s="16" t="inlineStr">
        <is>
          <t>npm test -w apps/api</t>
        </is>
      </c>
      <c r="G127" s="16" t="inlineStr">
        <is>
          <t>Test passes</t>
        </is>
      </c>
      <c r="H127" s="16" t="inlineStr">
        <is>
          <t>passed</t>
        </is>
      </c>
      <c r="I127" s="17" t="inlineStr">
        <is>
          <t>Passed</t>
        </is>
      </c>
    </row>
    <row r="128">
      <c r="A128" s="16" t="inlineStr">
        <is>
          <t>Suite re-run (api-unit)</t>
        </is>
      </c>
      <c r="B128" s="16" t="inlineStr">
        <is>
          <t>2026-10-02 21:45:01 UTC</t>
        </is>
      </c>
      <c r="C128" s="16" t="inlineStr">
        <is>
          <t>iorta QA (Vitest)</t>
        </is>
      </c>
      <c r="D128" s="16" t="inlineStr">
        <is>
          <t>name matching scores identical names 100 regardless of honorific</t>
        </is>
      </c>
      <c r="E128" s="16" t="inlineStr">
        <is>
          <t>–</t>
        </is>
      </c>
      <c r="F128" s="16" t="inlineStr">
        <is>
          <t>npm test -w apps/api</t>
        </is>
      </c>
      <c r="G128" s="16" t="inlineStr">
        <is>
          <t>Test passes</t>
        </is>
      </c>
      <c r="H128" s="16" t="inlineStr">
        <is>
          <t>passed</t>
        </is>
      </c>
      <c r="I128" s="17" t="inlineStr">
        <is>
          <t>Passed</t>
        </is>
      </c>
    </row>
    <row r="129">
      <c r="A129" s="16" t="inlineStr">
        <is>
          <t>Suite re-run (api-unit)</t>
        </is>
      </c>
      <c r="B129" s="16" t="inlineStr">
        <is>
          <t>2026-10-02 21:45:01 UTC</t>
        </is>
      </c>
      <c r="C129" s="16" t="inlineStr">
        <is>
          <t>iorta QA (Vitest)</t>
        </is>
      </c>
      <c r="D129" s="16" t="inlineStr">
        <is>
          <t>name matching scores close transliterations above the default review threshold</t>
        </is>
      </c>
      <c r="E129" s="16" t="inlineStr">
        <is>
          <t>–</t>
        </is>
      </c>
      <c r="F129" s="16" t="inlineStr">
        <is>
          <t>npm test -w apps/api</t>
        </is>
      </c>
      <c r="G129" s="16" t="inlineStr">
        <is>
          <t>Test passes</t>
        </is>
      </c>
      <c r="H129" s="16" t="inlineStr">
        <is>
          <t>passed</t>
        </is>
      </c>
      <c r="I129" s="17" t="inlineStr">
        <is>
          <t>Passed</t>
        </is>
      </c>
    </row>
    <row r="130">
      <c r="A130" s="16" t="inlineStr">
        <is>
          <t>Suite re-run (api-unit)</t>
        </is>
      </c>
      <c r="B130" s="16" t="inlineStr">
        <is>
          <t>2026-10-02 21:45:01 UTC</t>
        </is>
      </c>
      <c r="C130" s="16" t="inlineStr">
        <is>
          <t>iorta QA (Vitest)</t>
        </is>
      </c>
      <c r="D130" s="16" t="inlineStr">
        <is>
          <t>name matching scores unrelated names low</t>
        </is>
      </c>
      <c r="E130" s="16" t="inlineStr">
        <is>
          <t>–</t>
        </is>
      </c>
      <c r="F130" s="16" t="inlineStr">
        <is>
          <t>npm test -w apps/api</t>
        </is>
      </c>
      <c r="G130" s="16" t="inlineStr">
        <is>
          <t>Test passes</t>
        </is>
      </c>
      <c r="H130" s="16" t="inlineStr">
        <is>
          <t>passed</t>
        </is>
      </c>
      <c r="I130" s="17" t="inlineStr">
        <is>
          <t>Passed</t>
        </is>
      </c>
    </row>
    <row r="131">
      <c r="A131" s="16" t="inlineStr">
        <is>
          <t>Suite re-run (api-unit)</t>
        </is>
      </c>
      <c r="B131" s="16" t="inlineStr">
        <is>
          <t>2026-10-02 21:45:01 UTC</t>
        </is>
      </c>
      <c r="C131" s="16" t="inlineStr">
        <is>
          <t>iorta QA (Vitest)</t>
        </is>
      </c>
      <c r="D131" s="16" t="inlineStr">
        <is>
          <t>name matching implements Jaro-Winkler</t>
        </is>
      </c>
      <c r="E131" s="16" t="inlineStr">
        <is>
          <t>–</t>
        </is>
      </c>
      <c r="F131" s="16" t="inlineStr">
        <is>
          <t>npm test -w apps/api</t>
        </is>
      </c>
      <c r="G131" s="16" t="inlineStr">
        <is>
          <t>Test passes</t>
        </is>
      </c>
      <c r="H131" s="16" t="inlineStr">
        <is>
          <t>passed</t>
        </is>
      </c>
      <c r="I131" s="17" t="inlineStr">
        <is>
          <t>Passed</t>
        </is>
      </c>
    </row>
    <row r="132">
      <c r="A132" s="16" t="inlineStr">
        <is>
          <t>Suite re-run (api-unit)</t>
        </is>
      </c>
      <c r="B132" s="16" t="inlineStr">
        <is>
          <t>2026-10-02 21:45:01 UTC</t>
        </is>
      </c>
      <c r="C132" s="16" t="inlineStr">
        <is>
          <t>iorta QA (Vitest)</t>
        </is>
      </c>
      <c r="D132" s="16" t="inlineStr">
        <is>
          <t>parseCsv handles quoted fields, escaped quotes and CRLF line endings</t>
        </is>
      </c>
      <c r="E132" s="16" t="inlineStr">
        <is>
          <t>–</t>
        </is>
      </c>
      <c r="F132" s="16" t="inlineStr">
        <is>
          <t>npm test -w apps/api</t>
        </is>
      </c>
      <c r="G132" s="16" t="inlineStr">
        <is>
          <t>Test passes</t>
        </is>
      </c>
      <c r="H132" s="16" t="inlineStr">
        <is>
          <t>passed</t>
        </is>
      </c>
      <c r="I132" s="17" t="inlineStr">
        <is>
          <t>Passed</t>
        </is>
      </c>
    </row>
    <row r="133">
      <c r="A133" s="16" t="inlineStr">
        <is>
          <t>Suite re-run (api-unit)</t>
        </is>
      </c>
      <c r="B133" s="16" t="inlineStr">
        <is>
          <t>2026-10-02 21:45:01 UTC</t>
        </is>
      </c>
      <c r="C133" s="16" t="inlineStr">
        <is>
          <t>iorta QA (Vitest)</t>
        </is>
      </c>
      <c r="D133" s="16" t="inlineStr">
        <is>
          <t>PasswordService accepts a password meeting every rule</t>
        </is>
      </c>
      <c r="E133" s="16" t="inlineStr">
        <is>
          <t>–</t>
        </is>
      </c>
      <c r="F133" s="16" t="inlineStr">
        <is>
          <t>npm test -w apps/api</t>
        </is>
      </c>
      <c r="G133" s="16" t="inlineStr">
        <is>
          <t>Test passes</t>
        </is>
      </c>
      <c r="H133" s="16" t="inlineStr">
        <is>
          <t>passed</t>
        </is>
      </c>
      <c r="I133" s="17" t="inlineStr">
        <is>
          <t>Passed</t>
        </is>
      </c>
    </row>
    <row r="134">
      <c r="A134" s="16" t="inlineStr">
        <is>
          <t>Suite re-run (api-unit)</t>
        </is>
      </c>
      <c r="B134" s="16" t="inlineStr">
        <is>
          <t>2026-10-02 21:45:01 UTC</t>
        </is>
      </c>
      <c r="C134" s="16" t="inlineStr">
        <is>
          <t>iorta QA (Vitest)</t>
        </is>
      </c>
      <c r="D134" s="16" t="inlineStr">
        <is>
          <t>PasswordService reports every unmet rule together</t>
        </is>
      </c>
      <c r="E134" s="16" t="inlineStr">
        <is>
          <t>–</t>
        </is>
      </c>
      <c r="F134" s="16" t="inlineStr">
        <is>
          <t>npm test -w apps/api</t>
        </is>
      </c>
      <c r="G134" s="16" t="inlineStr">
        <is>
          <t>Test passes</t>
        </is>
      </c>
      <c r="H134" s="16" t="inlineStr">
        <is>
          <t>passed</t>
        </is>
      </c>
      <c r="I134" s="17" t="inlineStr">
        <is>
          <t>Passed</t>
        </is>
      </c>
    </row>
    <row r="135">
      <c r="A135" s="16" t="inlineStr">
        <is>
          <t>Suite re-run (api-unit)</t>
        </is>
      </c>
      <c r="B135" s="16" t="inlineStr">
        <is>
          <t>2026-10-02 21:45:01 UTC</t>
        </is>
      </c>
      <c r="C135" s="16" t="inlineStr">
        <is>
          <t>iorta QA (Vitest)</t>
        </is>
      </c>
      <c r="D135" s="16" t="inlineStr">
        <is>
          <t>PasswordService rejects passwords containing the username</t>
        </is>
      </c>
      <c r="E135" s="16" t="inlineStr">
        <is>
          <t>–</t>
        </is>
      </c>
      <c r="F135" s="16" t="inlineStr">
        <is>
          <t>npm test -w apps/api</t>
        </is>
      </c>
      <c r="G135" s="16" t="inlineStr">
        <is>
          <t>Test passes</t>
        </is>
      </c>
      <c r="H135" s="16" t="inlineStr">
        <is>
          <t>passed</t>
        </is>
      </c>
      <c r="I135" s="17" t="inlineStr">
        <is>
          <t>Passed</t>
        </is>
      </c>
    </row>
    <row r="136">
      <c r="A136" s="16" t="inlineStr">
        <is>
          <t>Suite re-run (api-unit)</t>
        </is>
      </c>
      <c r="B136" s="16" t="inlineStr">
        <is>
          <t>2026-10-02 21:45:01 UTC</t>
        </is>
      </c>
      <c r="C136" s="16" t="inlineStr">
        <is>
          <t>iorta QA (Vitest)</t>
        </is>
      </c>
      <c r="D136" s="16" t="inlineStr">
        <is>
          <t>PasswordService hashes with Argon2id and verifies</t>
        </is>
      </c>
      <c r="E136" s="16" t="inlineStr">
        <is>
          <t>–</t>
        </is>
      </c>
      <c r="F136" s="16" t="inlineStr">
        <is>
          <t>npm test -w apps/api</t>
        </is>
      </c>
      <c r="G136" s="16" t="inlineStr">
        <is>
          <t>Test passes</t>
        </is>
      </c>
      <c r="H136" s="16" t="inlineStr">
        <is>
          <t>passed</t>
        </is>
      </c>
      <c r="I136" s="17" t="inlineStr">
        <is>
          <t>Passed</t>
        </is>
      </c>
    </row>
    <row r="137">
      <c r="A137" s="16" t="inlineStr">
        <is>
          <t>Suite re-run (api-unit)</t>
        </is>
      </c>
      <c r="B137" s="16" t="inlineStr">
        <is>
          <t>2026-10-02 21:45:01 UTC</t>
        </is>
      </c>
      <c r="C137" s="16" t="inlineStr">
        <is>
          <t>iorta QA (Vitest)</t>
        </is>
      </c>
      <c r="D137" s="16" t="inlineStr">
        <is>
          <t>PasswordService expires passwords after the configured number of days</t>
        </is>
      </c>
      <c r="E137" s="16" t="inlineStr">
        <is>
          <t>–</t>
        </is>
      </c>
      <c r="F137" s="16" t="inlineStr">
        <is>
          <t>npm test -w apps/api</t>
        </is>
      </c>
      <c r="G137" s="16" t="inlineStr">
        <is>
          <t>Test passes</t>
        </is>
      </c>
      <c r="H137" s="16" t="inlineStr">
        <is>
          <t>passed</t>
        </is>
      </c>
      <c r="I137" s="17" t="inlineStr">
        <is>
          <t>Passed</t>
        </is>
      </c>
    </row>
    <row r="138">
      <c r="A138" s="16" t="inlineStr">
        <is>
          <t>Suite re-run (api-unit)</t>
        </is>
      </c>
      <c r="B138" s="16" t="inlineStr">
        <is>
          <t>2026-10-02 21:45:01 UTC</t>
        </is>
      </c>
      <c r="C138" s="16" t="inlineStr">
        <is>
          <t>iorta QA (Vitest)</t>
        </is>
      </c>
      <c r="D138" s="16" t="inlineStr">
        <is>
          <t>PasswordService generates temporary passwords that satisfy the policy</t>
        </is>
      </c>
      <c r="E138" s="16" t="inlineStr">
        <is>
          <t>–</t>
        </is>
      </c>
      <c r="F138" s="16" t="inlineStr">
        <is>
          <t>npm test -w apps/api</t>
        </is>
      </c>
      <c r="G138" s="16" t="inlineStr">
        <is>
          <t>Test passes</t>
        </is>
      </c>
      <c r="H138" s="16" t="inlineStr">
        <is>
          <t>passed</t>
        </is>
      </c>
      <c r="I138" s="17" t="inlineStr">
        <is>
          <t>Passed</t>
        </is>
      </c>
    </row>
    <row r="139">
      <c r="A139" s="16" t="inlineStr">
        <is>
          <t>Suite re-run (api-unit)</t>
        </is>
      </c>
      <c r="B139" s="16" t="inlineStr">
        <is>
          <t>2026-10-02 21:45:01 UTC</t>
        </is>
      </c>
      <c r="C139" s="16" t="inlineStr">
        <is>
          <t>iorta QA (Vitest)</t>
        </is>
      </c>
      <c r="D139" s="16" t="inlineStr">
        <is>
          <t>FileInspector identifies files by content and forces a matching extension</t>
        </is>
      </c>
      <c r="E139" s="16" t="inlineStr">
        <is>
          <t>–</t>
        </is>
      </c>
      <c r="F139" s="16" t="inlineStr">
        <is>
          <t>npm test -w apps/api</t>
        </is>
      </c>
      <c r="G139" s="16" t="inlineStr">
        <is>
          <t>Test passes</t>
        </is>
      </c>
      <c r="H139" s="16" t="inlineStr">
        <is>
          <t>passed</t>
        </is>
      </c>
      <c r="I139" s="17" t="inlineStr">
        <is>
          <t>Passed</t>
        </is>
      </c>
    </row>
    <row r="140">
      <c r="A140" s="16" t="inlineStr">
        <is>
          <t>Suite re-run (api-unit)</t>
        </is>
      </c>
      <c r="B140" s="16" t="inlineStr">
        <is>
          <t>2026-10-02 21:45:01 UTC</t>
        </is>
      </c>
      <c r="C140" s="16" t="inlineStr">
        <is>
          <t>iorta QA (Vitest)</t>
        </is>
      </c>
      <c r="D140" s="16" t="inlineStr">
        <is>
          <t>FileInspector rejects content that is not PDF, PNG or JPEG whatever its name</t>
        </is>
      </c>
      <c r="E140" s="16" t="inlineStr">
        <is>
          <t>–</t>
        </is>
      </c>
      <c r="F140" s="16" t="inlineStr">
        <is>
          <t>npm test -w apps/api</t>
        </is>
      </c>
      <c r="G140" s="16" t="inlineStr">
        <is>
          <t>Test passes</t>
        </is>
      </c>
      <c r="H140" s="16" t="inlineStr">
        <is>
          <t>passed</t>
        </is>
      </c>
      <c r="I140" s="17" t="inlineStr">
        <is>
          <t>Passed</t>
        </is>
      </c>
    </row>
    <row r="141">
      <c r="A141" s="16" t="inlineStr">
        <is>
          <t>Suite re-run (api-unit)</t>
        </is>
      </c>
      <c r="B141" s="16" t="inlineStr">
        <is>
          <t>2026-10-02 21:45:01 UTC</t>
        </is>
      </c>
      <c r="C141" s="16" t="inlineStr">
        <is>
          <t>iorta QA (Vitest)</t>
        </is>
      </c>
      <c r="D141" s="16" t="inlineStr">
        <is>
          <t>FileInspector enforces the size limit and requires a file</t>
        </is>
      </c>
      <c r="E141" s="16" t="inlineStr">
        <is>
          <t>–</t>
        </is>
      </c>
      <c r="F141" s="16" t="inlineStr">
        <is>
          <t>npm test -w apps/api</t>
        </is>
      </c>
      <c r="G141" s="16" t="inlineStr">
        <is>
          <t>Test passes</t>
        </is>
      </c>
      <c r="H141" s="16" t="inlineStr">
        <is>
          <t>passed</t>
        </is>
      </c>
      <c r="I141" s="17" t="inlineStr">
        <is>
          <t>Passed</t>
        </is>
      </c>
    </row>
    <row r="142">
      <c r="A142" s="16" t="inlineStr">
        <is>
          <t>Suite re-run (api-unit)</t>
        </is>
      </c>
      <c r="B142" s="16" t="inlineStr">
        <is>
          <t>2026-10-02 21:45:01 UTC</t>
        </is>
      </c>
      <c r="C142" s="16" t="inlineStr">
        <is>
          <t>iorta QA (Vitest)</t>
        </is>
      </c>
      <c r="D142" s="16" t="inlineStr">
        <is>
          <t>FileInspector builds safe file names</t>
        </is>
      </c>
      <c r="E142" s="16" t="inlineStr">
        <is>
          <t>–</t>
        </is>
      </c>
      <c r="F142" s="16" t="inlineStr">
        <is>
          <t>npm test -w apps/api</t>
        </is>
      </c>
      <c r="G142" s="16" t="inlineStr">
        <is>
          <t>Test passes</t>
        </is>
      </c>
      <c r="H142" s="16" t="inlineStr">
        <is>
          <t>passed</t>
        </is>
      </c>
      <c r="I142" s="17" t="inlineStr">
        <is>
          <t>Passed</t>
        </is>
      </c>
    </row>
    <row r="143">
      <c r="A143" s="16" t="inlineStr">
        <is>
          <t>Suite re-run (api-unit)</t>
        </is>
      </c>
      <c r="B143" s="16" t="inlineStr">
        <is>
          <t>2026-10-02 21:45:01 UTC</t>
        </is>
      </c>
      <c r="C143" s="16" t="inlineStr">
        <is>
          <t>iorta QA (Vitest)</t>
        </is>
      </c>
      <c r="D143" s="16" t="inlineStr">
        <is>
          <t>describePlan uses the configured names</t>
        </is>
      </c>
      <c r="E143" s="16" t="inlineStr">
        <is>
          <t>–</t>
        </is>
      </c>
      <c r="F143" s="16" t="inlineStr">
        <is>
          <t>npm test -w apps/api</t>
        </is>
      </c>
      <c r="G143" s="16" t="inlineStr">
        <is>
          <t>Test passes</t>
        </is>
      </c>
      <c r="H143" s="16" t="inlineStr">
        <is>
          <t>passed</t>
        </is>
      </c>
      <c r="I143" s="17" t="inlineStr">
        <is>
          <t>Passed</t>
        </is>
      </c>
    </row>
    <row r="144">
      <c r="A144" s="16" t="inlineStr">
        <is>
          <t>Suite re-run (api-unit)</t>
        </is>
      </c>
      <c r="B144" s="16" t="inlineStr">
        <is>
          <t>2026-10-02 21:45:01 UTC</t>
        </is>
      </c>
      <c r="C144" s="16" t="inlineStr">
        <is>
          <t>iorta QA (Vitest)</t>
        </is>
      </c>
      <c r="D144" s="16" t="inlineStr">
        <is>
          <t>describePlan falls back to the code for a retired plan</t>
        </is>
      </c>
      <c r="E144" s="16" t="inlineStr">
        <is>
          <t>–</t>
        </is>
      </c>
      <c r="F144" s="16" t="inlineStr">
        <is>
          <t>npm test -w apps/api</t>
        </is>
      </c>
      <c r="G144" s="16" t="inlineStr">
        <is>
          <t>Test passes</t>
        </is>
      </c>
      <c r="H144" s="16" t="inlineStr">
        <is>
          <t>passed</t>
        </is>
      </c>
      <c r="I144" s="17" t="inlineStr">
        <is>
          <t>Passed</t>
        </is>
      </c>
    </row>
    <row r="145">
      <c r="A145" s="16" t="inlineStr">
        <is>
          <t>Suite re-run (api-unit)</t>
        </is>
      </c>
      <c r="B145" s="16" t="inlineStr">
        <is>
          <t>2026-10-02 21:45:01 UTC</t>
        </is>
      </c>
      <c r="C145" s="16" t="inlineStr">
        <is>
          <t>iorta QA (Vitest)</t>
        </is>
      </c>
      <c r="D145" s="16" t="inlineStr">
        <is>
          <t>describePlan returns null when the product has no plans</t>
        </is>
      </c>
      <c r="E145" s="16" t="inlineStr">
        <is>
          <t>–</t>
        </is>
      </c>
      <c r="F145" s="16" t="inlineStr">
        <is>
          <t>npm test -w apps/api</t>
        </is>
      </c>
      <c r="G145" s="16" t="inlineStr">
        <is>
          <t>Test passes</t>
        </is>
      </c>
      <c r="H145" s="16" t="inlineStr">
        <is>
          <t>passed</t>
        </is>
      </c>
      <c r="I145" s="17" t="inlineStr">
        <is>
          <t>Passed</t>
        </is>
      </c>
    </row>
    <row r="146">
      <c r="A146" s="16" t="inlineStr">
        <is>
          <t>Suite re-run (api-unit)</t>
        </is>
      </c>
      <c r="B146" s="16" t="inlineStr">
        <is>
          <t>2026-10-02 21:45:01 UTC</t>
        </is>
      </c>
      <c r="C146" s="16" t="inlineStr">
        <is>
          <t>iorta QA (Vitest)</t>
        </is>
      </c>
      <c r="D146" s="16" t="inlineStr">
        <is>
          <t>product definitions returns referral reasons for "yes" answers that require underwriting</t>
        </is>
      </c>
      <c r="E146" s="16" t="inlineStr">
        <is>
          <t>–</t>
        </is>
      </c>
      <c r="F146" s="16" t="inlineStr">
        <is>
          <t>npm test -w apps/api</t>
        </is>
      </c>
      <c r="G146" s="16" t="inlineStr">
        <is>
          <t>Test passes</t>
        </is>
      </c>
      <c r="H146" s="16" t="inlineStr">
        <is>
          <t>passed</t>
        </is>
      </c>
      <c r="I146" s="17" t="inlineStr">
        <is>
          <t>Passed</t>
        </is>
      </c>
    </row>
    <row r="147">
      <c r="A147" s="16" t="inlineStr">
        <is>
          <t>Suite re-run (api-unit)</t>
        </is>
      </c>
      <c r="B147" s="16" t="inlineStr">
        <is>
          <t>2026-10-02 21:45:01 UTC</t>
        </is>
      </c>
      <c r="C147" s="16" t="inlineStr">
        <is>
          <t>iorta QA (Vitest)</t>
        </is>
      </c>
      <c r="D147" s="16" t="inlineStr">
        <is>
          <t>product definitions requires every question to be answered and details for "yes"</t>
        </is>
      </c>
      <c r="E147" s="16" t="inlineStr">
        <is>
          <t>–</t>
        </is>
      </c>
      <c r="F147" s="16" t="inlineStr">
        <is>
          <t>npm test -w apps/api</t>
        </is>
      </c>
      <c r="G147" s="16" t="inlineStr">
        <is>
          <t>Test passes</t>
        </is>
      </c>
      <c r="H147" s="16" t="inlineStr">
        <is>
          <t>passed</t>
        </is>
      </c>
      <c r="I147" s="17" t="inlineStr">
        <is>
          <t>Passed</t>
        </is>
      </c>
    </row>
    <row r="148">
      <c r="A148" s="16" t="inlineStr">
        <is>
          <t>Suite re-run (api-unit)</t>
        </is>
      </c>
      <c r="B148" s="16" t="inlineStr">
        <is>
          <t>2026-10-02 21:45:01 UTC</t>
        </is>
      </c>
      <c r="C148" s="16" t="inlineStr">
        <is>
          <t>iorta QA (Vitest)</t>
        </is>
      </c>
      <c r="D148" s="16" t="inlineStr">
        <is>
          <t>product definitions rejects answers to questions the product does not ask</t>
        </is>
      </c>
      <c r="E148" s="16" t="inlineStr">
        <is>
          <t>–</t>
        </is>
      </c>
      <c r="F148" s="16" t="inlineStr">
        <is>
          <t>npm test -w apps/api</t>
        </is>
      </c>
      <c r="G148" s="16" t="inlineStr">
        <is>
          <t>Test passes</t>
        </is>
      </c>
      <c r="H148" s="16" t="inlineStr">
        <is>
          <t>passed</t>
        </is>
      </c>
      <c r="I148" s="17" t="inlineStr">
        <is>
          <t>Passed</t>
        </is>
      </c>
    </row>
    <row r="149">
      <c r="A149" s="16" t="inlineStr">
        <is>
          <t>Suite re-run (api-unit)</t>
        </is>
      </c>
      <c r="B149" s="16" t="inlineStr">
        <is>
          <t>2026-10-02 21:45:01 UTC</t>
        </is>
      </c>
      <c r="C149" s="16" t="inlineStr">
        <is>
          <t>iorta QA (Vitest)</t>
        </is>
      </c>
      <c r="D149" s="16" t="inlineStr">
        <is>
          <t>product definitions treats documents as mandatory unless stated otherwise</t>
        </is>
      </c>
      <c r="E149" s="16" t="inlineStr">
        <is>
          <t>–</t>
        </is>
      </c>
      <c r="F149" s="16" t="inlineStr">
        <is>
          <t>npm test -w apps/api</t>
        </is>
      </c>
      <c r="G149" s="16" t="inlineStr">
        <is>
          <t>Test passes</t>
        </is>
      </c>
      <c r="H149" s="16" t="inlineStr">
        <is>
          <t>passed</t>
        </is>
      </c>
      <c r="I149" s="17" t="inlineStr">
        <is>
          <t>Passed</t>
        </is>
      </c>
    </row>
    <row r="150">
      <c r="A150" s="16" t="inlineStr">
        <is>
          <t>Suite re-run (api-unit)</t>
        </is>
      </c>
      <c r="B150" s="16" t="inlineStr">
        <is>
          <t>2026-10-02 21:45:01 UTC</t>
        </is>
      </c>
      <c r="C150" s="16" t="inlineStr">
        <is>
          <t>iorta QA (Vitest)</t>
        </is>
      </c>
      <c r="D150" s="16" t="inlineStr">
        <is>
          <t>report export quotes CSV cells and neutralises spreadsheet formulas</t>
        </is>
      </c>
      <c r="E150" s="16" t="inlineStr">
        <is>
          <t>–</t>
        </is>
      </c>
      <c r="F150" s="16" t="inlineStr">
        <is>
          <t>npm test -w apps/api</t>
        </is>
      </c>
      <c r="G150" s="16" t="inlineStr">
        <is>
          <t>Test passes</t>
        </is>
      </c>
      <c r="H150" s="16" t="inlineStr">
        <is>
          <t>passed</t>
        </is>
      </c>
      <c r="I150" s="17" t="inlineStr">
        <is>
          <t>Passed</t>
        </is>
      </c>
    </row>
    <row r="151">
      <c r="A151" s="16" t="inlineStr">
        <is>
          <t>Suite re-run (api-unit)</t>
        </is>
      </c>
      <c r="B151" s="16" t="inlineStr">
        <is>
          <t>2026-10-02 21:45:01 UTC</t>
        </is>
      </c>
      <c r="C151" s="16" t="inlineStr">
        <is>
          <t>iorta QA (Vitest)</t>
        </is>
      </c>
      <c r="D151" s="16" t="inlineStr">
        <is>
          <t>report scheduling runs daily reports at 07:00 Brunei time (23:00 UTC)</t>
        </is>
      </c>
      <c r="E151" s="16" t="inlineStr">
        <is>
          <t>–</t>
        </is>
      </c>
      <c r="F151" s="16" t="inlineStr">
        <is>
          <t>npm test -w apps/api</t>
        </is>
      </c>
      <c r="G151" s="16" t="inlineStr">
        <is>
          <t>Test passes</t>
        </is>
      </c>
      <c r="H151" s="16" t="inlineStr">
        <is>
          <t>passed</t>
        </is>
      </c>
      <c r="I151" s="17" t="inlineStr">
        <is>
          <t>Passed</t>
        </is>
      </c>
    </row>
    <row r="152">
      <c r="A152" s="16" t="inlineStr">
        <is>
          <t>Suite re-run (api-unit)</t>
        </is>
      </c>
      <c r="B152" s="16" t="inlineStr">
        <is>
          <t>2026-10-02 21:45:01 UTC</t>
        </is>
      </c>
      <c r="C152" s="16" t="inlineStr">
        <is>
          <t>iorta QA (Vitest)</t>
        </is>
      </c>
      <c r="D152" s="16" t="inlineStr">
        <is>
          <t>report scheduling runs weekly reports on Monday and monthly reports on the 1st (local time)</t>
        </is>
      </c>
      <c r="E152" s="16" t="inlineStr">
        <is>
          <t>–</t>
        </is>
      </c>
      <c r="F152" s="16" t="inlineStr">
        <is>
          <t>npm test -w apps/api</t>
        </is>
      </c>
      <c r="G152" s="16" t="inlineStr">
        <is>
          <t>Test passes</t>
        </is>
      </c>
      <c r="H152" s="16" t="inlineStr">
        <is>
          <t>passed</t>
        </is>
      </c>
      <c r="I152" s="17" t="inlineStr">
        <is>
          <t>Passed</t>
        </is>
      </c>
    </row>
    <row r="153">
      <c r="A153" s="16" t="inlineStr">
        <is>
          <t>Suite re-run (api-unit)</t>
        </is>
      </c>
      <c r="B153" s="16" t="inlineStr">
        <is>
          <t>2026-10-02 21:45:01 UTC</t>
        </is>
      </c>
      <c r="C153" s="16" t="inlineStr">
        <is>
          <t>iorta QA (Vitest)</t>
        </is>
      </c>
      <c r="D153" s="16" t="inlineStr">
        <is>
          <t>report scheduling resolves relative periods to date ranges</t>
        </is>
      </c>
      <c r="E153" s="16" t="inlineStr">
        <is>
          <t>–</t>
        </is>
      </c>
      <c r="F153" s="16" t="inlineStr">
        <is>
          <t>npm test -w apps/api</t>
        </is>
      </c>
      <c r="G153" s="16" t="inlineStr">
        <is>
          <t>Test passes</t>
        </is>
      </c>
      <c r="H153" s="16" t="inlineStr">
        <is>
          <t>passed</t>
        </is>
      </c>
      <c r="I153" s="17" t="inlineStr">
        <is>
          <t>Passed</t>
        </is>
      </c>
    </row>
    <row r="154">
      <c r="A154" s="16" t="inlineStr">
        <is>
          <t>Suite re-run (api-unit)</t>
        </is>
      </c>
      <c r="B154" s="16" t="inlineStr">
        <is>
          <t>2026-10-02 21:45:01 UTC</t>
        </is>
      </c>
      <c r="C154" s="16" t="inlineStr">
        <is>
          <t>iorta QA (Vitest)</t>
        </is>
      </c>
      <c r="D154" s="16" t="inlineStr">
        <is>
          <t>withoutCiphertext removes encrypted values at any depth and keeps everything else</t>
        </is>
      </c>
      <c r="E154" s="16" t="inlineStr">
        <is>
          <t>–</t>
        </is>
      </c>
      <c r="F154" s="16" t="inlineStr">
        <is>
          <t>npm test -w apps/api</t>
        </is>
      </c>
      <c r="G154" s="16" t="inlineStr">
        <is>
          <t>Test passes</t>
        </is>
      </c>
      <c r="H154" s="16" t="inlineStr">
        <is>
          <t>passed</t>
        </is>
      </c>
      <c r="I154" s="17" t="inlineStr">
        <is>
          <t>Passed</t>
        </is>
      </c>
    </row>
    <row r="155">
      <c r="A155" s="16" t="inlineStr">
        <is>
          <t>Suite re-run (api-unit)</t>
        </is>
      </c>
      <c r="B155" s="16" t="inlineStr">
        <is>
          <t>2026-10-02 21:45:01 UTC</t>
        </is>
      </c>
      <c r="C155" s="16" t="inlineStr">
        <is>
          <t>iorta QA (Vitest)</t>
        </is>
      </c>
      <c r="D155" s="16" t="inlineStr">
        <is>
          <t>withoutCiphertext leaves scalar and empty payloads untouched</t>
        </is>
      </c>
      <c r="E155" s="16" t="inlineStr">
        <is>
          <t>–</t>
        </is>
      </c>
      <c r="F155" s="16" t="inlineStr">
        <is>
          <t>npm test -w apps/api</t>
        </is>
      </c>
      <c r="G155" s="16" t="inlineStr">
        <is>
          <t>Test passes</t>
        </is>
      </c>
      <c r="H155" s="16" t="inlineStr">
        <is>
          <t>passed</t>
        </is>
      </c>
      <c r="I155" s="17" t="inlineStr">
        <is>
          <t>Passed</t>
        </is>
      </c>
    </row>
    <row r="156">
      <c r="A156" s="16" t="inlineStr">
        <is>
          <t>Suite re-run (api-unit)</t>
        </is>
      </c>
      <c r="B156" s="16" t="inlineStr">
        <is>
          <t>2026-10-02 21:45:01 UTC</t>
        </is>
      </c>
      <c r="C156" s="16" t="inlineStr">
        <is>
          <t>iorta QA (Vitest)</t>
        </is>
      </c>
      <c r="D156" s="16" t="inlineStr">
        <is>
          <t>FinancingRatingEngine calculates a decreasing-term contribution on the flat-rate financing total</t>
        </is>
      </c>
      <c r="E156" s="16" t="inlineStr">
        <is>
          <t>–</t>
        </is>
      </c>
      <c r="F156" s="16" t="inlineStr">
        <is>
          <t>npm test -w apps/api</t>
        </is>
      </c>
      <c r="G156" s="16" t="inlineStr">
        <is>
          <t>Test passes</t>
        </is>
      </c>
      <c r="H156" s="16" t="inlineStr">
        <is>
          <t>passed</t>
        </is>
      </c>
      <c r="I156" s="17" t="inlineStr">
        <is>
          <t>Passed</t>
        </is>
      </c>
    </row>
    <row r="157">
      <c r="A157" s="16" t="inlineStr">
        <is>
          <t>Suite re-run (api-unit)</t>
        </is>
      </c>
      <c r="B157" s="16" t="inlineStr">
        <is>
          <t>2026-10-02 21:45:01 UTC</t>
        </is>
      </c>
      <c r="C157" s="16" t="inlineStr">
        <is>
          <t>iorta QA (Vitest)</t>
        </is>
      </c>
      <c r="D157" s="16" t="inlineStr">
        <is>
          <t>FinancingRatingEngine refers financing above the B$150,000 high-risk limit to IIFT Sales</t>
        </is>
      </c>
      <c r="E157" s="16" t="inlineStr">
        <is>
          <t>–</t>
        </is>
      </c>
      <c r="F157" s="16" t="inlineStr">
        <is>
          <t>npm test -w apps/api</t>
        </is>
      </c>
      <c r="G157" s="16" t="inlineStr">
        <is>
          <t>Test passes</t>
        </is>
      </c>
      <c r="H157" s="16" t="inlineStr">
        <is>
          <t>passed</t>
        </is>
      </c>
      <c r="I157" s="17" t="inlineStr">
        <is>
          <t>Passed</t>
        </is>
      </c>
    </row>
    <row r="158">
      <c r="A158" s="16" t="inlineStr">
        <is>
          <t>Suite re-run (api-unit)</t>
        </is>
      </c>
      <c r="B158" s="16" t="inlineStr">
        <is>
          <t>2026-10-02 21:45:01 UTC</t>
        </is>
      </c>
      <c r="C158" s="16" t="inlineStr">
        <is>
          <t>iorta QA (Vitest)</t>
        </is>
      </c>
      <c r="D158" s="16" t="inlineStr">
        <is>
          <t>FinancingRatingEngine does not refer financing exactly at the high-risk limit</t>
        </is>
      </c>
      <c r="E158" s="16" t="inlineStr">
        <is>
          <t>–</t>
        </is>
      </c>
      <c r="F158" s="16" t="inlineStr">
        <is>
          <t>npm test -w apps/api</t>
        </is>
      </c>
      <c r="G158" s="16" t="inlineStr">
        <is>
          <t>Test passes</t>
        </is>
      </c>
      <c r="H158" s="16" t="inlineStr">
        <is>
          <t>passed</t>
        </is>
      </c>
      <c r="I158" s="17" t="inlineStr">
        <is>
          <t>Passed</t>
        </is>
      </c>
    </row>
    <row r="159">
      <c r="A159" s="16" t="inlineStr">
        <is>
          <t>Suite re-run (api-unit)</t>
        </is>
      </c>
      <c r="B159" s="16" t="inlineStr">
        <is>
          <t>2026-10-02 21:45:01 UTC</t>
        </is>
      </c>
      <c r="C159" s="16" t="inlineStr">
        <is>
          <t>iorta QA (Vitest)</t>
        </is>
      </c>
      <c r="D159" s="16" t="inlineStr">
        <is>
          <t>FinancingRatingEngine rejects cover that would run past the maximum age at expiry</t>
        </is>
      </c>
      <c r="E159" s="16" t="inlineStr">
        <is>
          <t>–</t>
        </is>
      </c>
      <c r="F159" s="16" t="inlineStr">
        <is>
          <t>npm test -w apps/api</t>
        </is>
      </c>
      <c r="G159" s="16" t="inlineStr">
        <is>
          <t>Test passes</t>
        </is>
      </c>
      <c r="H159" s="16" t="inlineStr">
        <is>
          <t>passed</t>
        </is>
      </c>
      <c r="I159" s="17" t="inlineStr">
        <is>
          <t>Passed</t>
        </is>
      </c>
    </row>
    <row r="160">
      <c r="A160" s="16" t="inlineStr">
        <is>
          <t>Suite re-run (api-unit)</t>
        </is>
      </c>
      <c r="B160" s="16" t="inlineStr">
        <is>
          <t>2026-10-02 21:45:01 UTC</t>
        </is>
      </c>
      <c r="C160" s="16" t="inlineStr">
        <is>
          <t>iorta QA (Vitest)</t>
        </is>
      </c>
      <c r="D160" s="16" t="inlineStr">
        <is>
          <t>FinancingRatingEngine applies no profit loading when the product uses NONE as profit basis</t>
        </is>
      </c>
      <c r="E160" s="16" t="inlineStr">
        <is>
          <t>–</t>
        </is>
      </c>
      <c r="F160" s="16" t="inlineStr">
        <is>
          <t>npm test -w apps/api</t>
        </is>
      </c>
      <c r="G160" s="16" t="inlineStr">
        <is>
          <t>Test passes</t>
        </is>
      </c>
      <c r="H160" s="16" t="inlineStr">
        <is>
          <t>passed</t>
        </is>
      </c>
      <c r="I160" s="17" t="inlineStr">
        <is>
          <t>Passed</t>
        </is>
      </c>
    </row>
    <row r="161">
      <c r="A161" s="16" t="inlineStr">
        <is>
          <t>Suite re-run (api-unit)</t>
        </is>
      </c>
      <c r="B161" s="16" t="inlineStr">
        <is>
          <t>2026-10-02 21:45:01 UTC</t>
        </is>
      </c>
      <c r="C161" s="16" t="inlineStr">
        <is>
          <t>iorta QA (Vitest)</t>
        </is>
      </c>
      <c r="D161" s="16" t="inlineStr">
        <is>
          <t>FinancingRatingEngine lists every missing risk field at once</t>
        </is>
      </c>
      <c r="E161" s="16" t="inlineStr">
        <is>
          <t>–</t>
        </is>
      </c>
      <c r="F161" s="16" t="inlineStr">
        <is>
          <t>npm test -w apps/api</t>
        </is>
      </c>
      <c r="G161" s="16" t="inlineStr">
        <is>
          <t>Test passes</t>
        </is>
      </c>
      <c r="H161" s="16" t="inlineStr">
        <is>
          <t>passed</t>
        </is>
      </c>
      <c r="I161" s="17" t="inlineStr">
        <is>
          <t>Passed</t>
        </is>
      </c>
    </row>
    <row r="162">
      <c r="A162" s="16" t="inlineStr">
        <is>
          <t>Suite re-run (api-unit)</t>
        </is>
      </c>
      <c r="B162" s="16" t="inlineStr">
        <is>
          <t>2026-10-02 21:45:01 UTC</t>
        </is>
      </c>
      <c r="C162" s="16" t="inlineStr">
        <is>
          <t>iorta QA (Vitest)</t>
        </is>
      </c>
      <c r="D162" s="16" t="inlineStr">
        <is>
          <t>FinancingRatingEngine validates its configuration</t>
        </is>
      </c>
      <c r="E162" s="16" t="inlineStr">
        <is>
          <t>–</t>
        </is>
      </c>
      <c r="F162" s="16" t="inlineStr">
        <is>
          <t>npm test -w apps/api</t>
        </is>
      </c>
      <c r="G162" s="16" t="inlineStr">
        <is>
          <t>Test passes</t>
        </is>
      </c>
      <c r="H162" s="16" t="inlineStr">
        <is>
          <t>passed</t>
        </is>
      </c>
      <c r="I162" s="17" t="inlineStr">
        <is>
          <t>Passed</t>
        </is>
      </c>
    </row>
    <row r="163">
      <c r="A163" s="16" t="inlineStr">
        <is>
          <t>Suite re-run (api-unit)</t>
        </is>
      </c>
      <c r="B163" s="16" t="inlineStr">
        <is>
          <t>2026-10-02 21:45:01 UTC</t>
        </is>
      </c>
      <c r="C163" s="16" t="inlineStr">
        <is>
          <t>iorta QA (Vitest)</t>
        </is>
      </c>
      <c r="D163" s="16" t="inlineStr">
        <is>
          <t>FixedPlanRatingEngine prices Professional Plan B with the optional additional cover (FFR03)</t>
        </is>
      </c>
      <c r="E163" s="16" t="inlineStr">
        <is>
          <t>–</t>
        </is>
      </c>
      <c r="F163" s="16" t="inlineStr">
        <is>
          <t>npm test -w apps/api</t>
        </is>
      </c>
      <c r="G163" s="16" t="inlineStr">
        <is>
          <t>Test passes</t>
        </is>
      </c>
      <c r="H163" s="16" t="inlineStr">
        <is>
          <t>passed</t>
        </is>
      </c>
      <c r="I163" s="17" t="inlineStr">
        <is>
          <t>Passed</t>
        </is>
      </c>
    </row>
    <row r="164">
      <c r="A164" s="16" t="inlineStr">
        <is>
          <t>Suite re-run (api-unit)</t>
        </is>
      </c>
      <c r="B164" s="16" t="inlineStr">
        <is>
          <t>2026-10-02 21:45:01 UTC</t>
        </is>
      </c>
      <c r="C164" s="16" t="inlineStr">
        <is>
          <t>iorta QA (Vitest)</t>
        </is>
      </c>
      <c r="D164" s="16" t="inlineStr">
        <is>
          <t>FixedPlanRatingEngine accepts only Occupational Class I for the Professional plan</t>
        </is>
      </c>
      <c r="E164" s="16" t="inlineStr">
        <is>
          <t>–</t>
        </is>
      </c>
      <c r="F164" s="16" t="inlineStr">
        <is>
          <t>npm test -w apps/api</t>
        </is>
      </c>
      <c r="G164" s="16" t="inlineStr">
        <is>
          <t>Test passes</t>
        </is>
      </c>
      <c r="H164" s="16" t="inlineStr">
        <is>
          <t>passed</t>
        </is>
      </c>
      <c r="I164" s="17" t="inlineStr">
        <is>
          <t>Passed</t>
        </is>
      </c>
    </row>
    <row r="165">
      <c r="A165" s="16" t="inlineStr">
        <is>
          <t>Suite re-run (api-unit)</t>
        </is>
      </c>
      <c r="B165" s="16" t="inlineStr">
        <is>
          <t>2026-10-02 21:45:01 UTC</t>
        </is>
      </c>
      <c r="C165" s="16" t="inlineStr">
        <is>
          <t>iorta QA (Vitest)</t>
        </is>
      </c>
      <c r="D165" s="16" t="inlineStr">
        <is>
          <t>FixedPlanRatingEngine applies the Wider (Child) loading for Khairat (FFR04)</t>
        </is>
      </c>
      <c r="E165" s="16" t="inlineStr">
        <is>
          <t>–</t>
        </is>
      </c>
      <c r="F165" s="16" t="inlineStr">
        <is>
          <t>npm test -w apps/api</t>
        </is>
      </c>
      <c r="G165" s="16" t="inlineStr">
        <is>
          <t>Test passes</t>
        </is>
      </c>
      <c r="H165" s="16" t="inlineStr">
        <is>
          <t>passed</t>
        </is>
      </c>
      <c r="I165" s="17" t="inlineStr">
        <is>
          <t>Passed</t>
        </is>
      </c>
    </row>
    <row r="166">
      <c r="A166" s="16" t="inlineStr">
        <is>
          <t>Suite re-run (api-unit)</t>
        </is>
      </c>
      <c r="B166" s="16" t="inlineStr">
        <is>
          <t>2026-10-02 21:45:01 UTC</t>
        </is>
      </c>
      <c r="C166" s="16" t="inlineStr">
        <is>
          <t>iorta QA (Vitest)</t>
        </is>
      </c>
      <c r="D166" s="16" t="inlineStr">
        <is>
          <t>FixedPlanRatingEngine requires a coverage type when the product defines them</t>
        </is>
      </c>
      <c r="E166" s="16" t="inlineStr">
        <is>
          <t>–</t>
        </is>
      </c>
      <c r="F166" s="16" t="inlineStr">
        <is>
          <t>npm test -w apps/api</t>
        </is>
      </c>
      <c r="G166" s="16" t="inlineStr">
        <is>
          <t>Test passes</t>
        </is>
      </c>
      <c r="H166" s="16" t="inlineStr">
        <is>
          <t>passed</t>
        </is>
      </c>
      <c r="I166" s="17" t="inlineStr">
        <is>
          <t>Passed</t>
        </is>
      </c>
    </row>
    <row r="167">
      <c r="A167" s="16" t="inlineStr">
        <is>
          <t>Suite re-run (api-unit)</t>
        </is>
      </c>
      <c r="B167" s="16" t="inlineStr">
        <is>
          <t>2026-10-02 21:45:01 UTC</t>
        </is>
      </c>
      <c r="C167" s="16" t="inlineStr">
        <is>
          <t>iorta QA (Vitest)</t>
        </is>
      </c>
      <c r="D167" s="16" t="inlineStr">
        <is>
          <t>FixedPlanRatingEngine offers 1- and 2-year cover for Personal Home Assistant (FFR02)</t>
        </is>
      </c>
      <c r="E167" s="16" t="inlineStr">
        <is>
          <t>–</t>
        </is>
      </c>
      <c r="F167" s="16" t="inlineStr">
        <is>
          <t>npm test -w apps/api</t>
        </is>
      </c>
      <c r="G167" s="16" t="inlineStr">
        <is>
          <t>Test passes</t>
        </is>
      </c>
      <c r="H167" s="16" t="inlineStr">
        <is>
          <t>passed</t>
        </is>
      </c>
      <c r="I167" s="17" t="inlineStr">
        <is>
          <t>Passed</t>
        </is>
      </c>
    </row>
    <row r="168">
      <c r="A168" s="16" t="inlineStr">
        <is>
          <t>Suite re-run (api-unit)</t>
        </is>
      </c>
      <c r="B168" s="16" t="inlineStr">
        <is>
          <t>2026-10-02 21:45:01 UTC</t>
        </is>
      </c>
      <c r="C168" s="16" t="inlineStr">
        <is>
          <t>iorta QA (Vitest)</t>
        </is>
      </c>
      <c r="D168" s="16" t="inlineStr">
        <is>
          <t>FixedPlanRatingEngine Overseas Student Assist eligibility (FFR05) accepts a registered Brunei citizen student</t>
        </is>
      </c>
      <c r="E168" s="16" t="inlineStr">
        <is>
          <t>–</t>
        </is>
      </c>
      <c r="F168" s="16" t="inlineStr">
        <is>
          <t>npm test -w apps/api</t>
        </is>
      </c>
      <c r="G168" s="16" t="inlineStr">
        <is>
          <t>Test passes</t>
        </is>
      </c>
      <c r="H168" s="16" t="inlineStr">
        <is>
          <t>passed</t>
        </is>
      </c>
      <c r="I168" s="17" t="inlineStr">
        <is>
          <t>Passed</t>
        </is>
      </c>
    </row>
    <row r="169">
      <c r="A169" s="16" t="inlineStr">
        <is>
          <t>Suite re-run (api-unit)</t>
        </is>
      </c>
      <c r="B169" s="16" t="inlineStr">
        <is>
          <t>2026-10-02 21:45:01 UTC</t>
        </is>
      </c>
      <c r="C169" s="16" t="inlineStr">
        <is>
          <t>iorta QA (Vitest)</t>
        </is>
      </c>
      <c r="D169" s="16" t="inlineStr">
        <is>
          <t>FixedPlanRatingEngine Overseas Student Assist eligibility (FFR05) rejects a participant who is not a Brunei citizen</t>
        </is>
      </c>
      <c r="E169" s="16" t="inlineStr">
        <is>
          <t>–</t>
        </is>
      </c>
      <c r="F169" s="16" t="inlineStr">
        <is>
          <t>npm test -w apps/api</t>
        </is>
      </c>
      <c r="G169" s="16" t="inlineStr">
        <is>
          <t>Test passes</t>
        </is>
      </c>
      <c r="H169" s="16" t="inlineStr">
        <is>
          <t>passed</t>
        </is>
      </c>
      <c r="I169" s="17" t="inlineStr">
        <is>
          <t>Passed</t>
        </is>
      </c>
    </row>
    <row r="170">
      <c r="A170" s="16" t="inlineStr">
        <is>
          <t>Suite re-run (api-unit)</t>
        </is>
      </c>
      <c r="B170" s="16" t="inlineStr">
        <is>
          <t>2026-10-02 21:45:01 UTC</t>
        </is>
      </c>
      <c r="C170" s="16" t="inlineStr">
        <is>
          <t>iorta QA (Vitest)</t>
        </is>
      </c>
      <c r="D170" s="16" t="inlineStr">
        <is>
          <t>FixedPlanRatingEngine Overseas Student Assist eligibility (FFR05) requires confirmation of student registration</t>
        </is>
      </c>
      <c r="E170" s="16" t="inlineStr">
        <is>
          <t>–</t>
        </is>
      </c>
      <c r="F170" s="16" t="inlineStr">
        <is>
          <t>npm test -w apps/api</t>
        </is>
      </c>
      <c r="G170" s="16" t="inlineStr">
        <is>
          <t>Test passes</t>
        </is>
      </c>
      <c r="H170" s="16" t="inlineStr">
        <is>
          <t>passed</t>
        </is>
      </c>
      <c r="I170" s="17" t="inlineStr">
        <is>
          <t>Passed</t>
        </is>
      </c>
    </row>
    <row r="171">
      <c r="A171" s="16" t="inlineStr">
        <is>
          <t>Suite re-run (api-unit)</t>
        </is>
      </c>
      <c r="B171" s="16" t="inlineStr">
        <is>
          <t>2026-10-02 21:45:01 UTC</t>
        </is>
      </c>
      <c r="C171" s="16" t="inlineStr">
        <is>
          <t>iorta QA (Vitest)</t>
        </is>
      </c>
      <c r="D171" s="16" t="inlineStr">
        <is>
          <t>FixedPlanRatingEngine Overseas Student Assist eligibility (FFR05) rejects participants older than 65 next birthday</t>
        </is>
      </c>
      <c r="E171" s="16" t="inlineStr">
        <is>
          <t>–</t>
        </is>
      </c>
      <c r="F171" s="16" t="inlineStr">
        <is>
          <t>npm test -w apps/api</t>
        </is>
      </c>
      <c r="G171" s="16" t="inlineStr">
        <is>
          <t>Test passes</t>
        </is>
      </c>
      <c r="H171" s="16" t="inlineStr">
        <is>
          <t>passed</t>
        </is>
      </c>
      <c r="I171" s="17" t="inlineStr">
        <is>
          <t>Passed</t>
        </is>
      </c>
    </row>
    <row r="172">
      <c r="A172" s="16" t="inlineStr">
        <is>
          <t>Suite re-run (api-unit)</t>
        </is>
      </c>
      <c r="B172" s="16" t="inlineStr">
        <is>
          <t>2026-10-02 21:45:01 UTC</t>
        </is>
      </c>
      <c r="C172" s="16" t="inlineStr">
        <is>
          <t>iorta QA (Vitest)</t>
        </is>
      </c>
      <c r="D172" s="16" t="inlineStr">
        <is>
          <t>FixedPlanRatingEngine drops risk details that the product does not define</t>
        </is>
      </c>
      <c r="E172" s="16" t="inlineStr">
        <is>
          <t>–</t>
        </is>
      </c>
      <c r="F172" s="16" t="inlineStr">
        <is>
          <t>npm test -w apps/api</t>
        </is>
      </c>
      <c r="G172" s="16" t="inlineStr">
        <is>
          <t>Test passes</t>
        </is>
      </c>
      <c r="H172" s="16" t="inlineStr">
        <is>
          <t>passed</t>
        </is>
      </c>
      <c r="I172" s="17" t="inlineStr">
        <is>
          <t>Passed</t>
        </is>
      </c>
    </row>
    <row r="173">
      <c r="A173" s="16" t="inlineStr">
        <is>
          <t>Suite re-run (api-unit)</t>
        </is>
      </c>
      <c r="B173" s="16" t="inlineStr">
        <is>
          <t>2026-10-02 21:45:01 UTC</t>
        </is>
      </c>
      <c r="C173" s="16" t="inlineStr">
        <is>
          <t>iorta QA (Vitest)</t>
        </is>
      </c>
      <c r="D173" s="16" t="inlineStr">
        <is>
          <t>FixedPlanRatingEngine validates every catalogue product configuration</t>
        </is>
      </c>
      <c r="E173" s="16" t="inlineStr">
        <is>
          <t>–</t>
        </is>
      </c>
      <c r="F173" s="16" t="inlineStr">
        <is>
          <t>npm test -w apps/api</t>
        </is>
      </c>
      <c r="G173" s="16" t="inlineStr">
        <is>
          <t>Test passes</t>
        </is>
      </c>
      <c r="H173" s="16" t="inlineStr">
        <is>
          <t>passed</t>
        </is>
      </c>
      <c r="I173" s="17" t="inlineStr">
        <is>
          <t>Passed</t>
        </is>
      </c>
    </row>
    <row r="174">
      <c r="A174" s="16" t="inlineStr">
        <is>
          <t>Suite re-run (api-e2e)</t>
        </is>
      </c>
      <c r="B174" s="16" t="inlineStr">
        <is>
          <t>2026-10-02 22:00:31 UTC</t>
        </is>
      </c>
      <c r="C174" s="16" t="inlineStr">
        <is>
          <t>iorta QA (Vitest)</t>
        </is>
      </c>
      <c r="D174" s="16" t="inlineStr">
        <is>
          <t>Access control and input handling (AP-59, BO-02, COM-02, NFR-10/14/15) rejects unauthenticated requests</t>
        </is>
      </c>
      <c r="E174" s="16" t="inlineStr">
        <is>
          <t>–</t>
        </is>
      </c>
      <c r="F174" s="16" t="inlineStr">
        <is>
          <t>npm run test:e2e -w apps/api</t>
        </is>
      </c>
      <c r="G174" s="16" t="inlineStr">
        <is>
          <t>Test passes</t>
        </is>
      </c>
      <c r="H174" s="16" t="inlineStr">
        <is>
          <t>passed</t>
        </is>
      </c>
      <c r="I174" s="17" t="inlineStr">
        <is>
          <t>Passed</t>
        </is>
      </c>
    </row>
    <row r="175">
      <c r="A175" s="16" t="inlineStr">
        <is>
          <t>Suite re-run (api-e2e)</t>
        </is>
      </c>
      <c r="B175" s="16" t="inlineStr">
        <is>
          <t>2026-10-02 22:00:31 UTC</t>
        </is>
      </c>
      <c r="C175" s="16" t="inlineStr">
        <is>
          <t>iorta QA (Vitest)</t>
        </is>
      </c>
      <c r="D175" s="16" t="inlineStr">
        <is>
          <t>Access control and input handling (AP-59, BO-02, COM-02, NFR-10/14/15) keeps portal users out of the back-office API and vice versa</t>
        </is>
      </c>
      <c r="E175" s="16" t="inlineStr">
        <is>
          <t>–</t>
        </is>
      </c>
      <c r="F175" s="16" t="inlineStr">
        <is>
          <t>npm run test:e2e -w apps/api</t>
        </is>
      </c>
      <c r="G175" s="16" t="inlineStr">
        <is>
          <t>Test passes</t>
        </is>
      </c>
      <c r="H175" s="16" t="inlineStr">
        <is>
          <t>passed</t>
        </is>
      </c>
      <c r="I175" s="17" t="inlineStr">
        <is>
          <t>Passed</t>
        </is>
      </c>
    </row>
    <row r="176">
      <c r="A176" s="16" t="inlineStr">
        <is>
          <t>Suite re-run (api-e2e)</t>
        </is>
      </c>
      <c r="B176" s="16" t="inlineStr">
        <is>
          <t>2026-10-02 22:00:31 UTC</t>
        </is>
      </c>
      <c r="C176" s="16" t="inlineStr">
        <is>
          <t>iorta QA (Vitest)</t>
        </is>
      </c>
      <c r="D176" s="16" t="inlineStr">
        <is>
          <t>Access control and input handling (AP-59, BO-02, COM-02, NFR-10/14/15) enforces permissions within the back-office</t>
        </is>
      </c>
      <c r="E176" s="16" t="inlineStr">
        <is>
          <t>–</t>
        </is>
      </c>
      <c r="F176" s="16" t="inlineStr">
        <is>
          <t>npm run test:e2e -w apps/api</t>
        </is>
      </c>
      <c r="G176" s="16" t="inlineStr">
        <is>
          <t>Test passes</t>
        </is>
      </c>
      <c r="H176" s="16" t="inlineStr">
        <is>
          <t>passed</t>
        </is>
      </c>
      <c r="I176" s="17" t="inlineStr">
        <is>
          <t>Passed</t>
        </is>
      </c>
    </row>
    <row r="177">
      <c r="A177" s="16" t="inlineStr">
        <is>
          <t>Suite re-run (api-e2e)</t>
        </is>
      </c>
      <c r="B177" s="16" t="inlineStr">
        <is>
          <t>2026-10-02 22:00:31 UTC</t>
        </is>
      </c>
      <c r="C177" s="16" t="inlineStr">
        <is>
          <t>iorta QA (Vitest)</t>
        </is>
      </c>
      <c r="D177" s="16" t="inlineStr">
        <is>
          <t>Access control and input handling (AP-59, BO-02, COM-02, NFR-10/14/15) restricts records to the agent hierarchy and agency</t>
        </is>
      </c>
      <c r="E177" s="16" t="inlineStr">
        <is>
          <t>–</t>
        </is>
      </c>
      <c r="F177" s="16" t="inlineStr">
        <is>
          <t>npm run test:e2e -w apps/api</t>
        </is>
      </c>
      <c r="G177" s="16" t="inlineStr">
        <is>
          <t>Test passes</t>
        </is>
      </c>
      <c r="H177" s="16" t="inlineStr">
        <is>
          <t>passed</t>
        </is>
      </c>
      <c r="I177" s="17" t="inlineStr">
        <is>
          <t>Passed</t>
        </is>
      </c>
    </row>
    <row r="178">
      <c r="A178" s="16" t="inlineStr">
        <is>
          <t>Suite re-run (api-e2e)</t>
        </is>
      </c>
      <c r="B178" s="16" t="inlineStr">
        <is>
          <t>2026-10-02 22:00:31 UTC</t>
        </is>
      </c>
      <c r="C178" s="16" t="inlineStr">
        <is>
          <t>iorta QA (Vitest)</t>
        </is>
      </c>
      <c r="D178" s="16" t="inlineStr">
        <is>
          <t>Access control and input handling (AP-59, BO-02, COM-02, NFR-10/14/15) treats injection attempts in search parameters as plain text</t>
        </is>
      </c>
      <c r="E178" s="16" t="inlineStr">
        <is>
          <t>–</t>
        </is>
      </c>
      <c r="F178" s="16" t="inlineStr">
        <is>
          <t>npm run test:e2e -w apps/api</t>
        </is>
      </c>
      <c r="G178" s="16" t="inlineStr">
        <is>
          <t>Test passes</t>
        </is>
      </c>
      <c r="H178" s="16" t="inlineStr">
        <is>
          <t>passed</t>
        </is>
      </c>
      <c r="I178" s="17" t="inlineStr">
        <is>
          <t>Passed</t>
        </is>
      </c>
    </row>
    <row r="179">
      <c r="A179" s="16" t="inlineStr">
        <is>
          <t>Suite re-run (api-e2e)</t>
        </is>
      </c>
      <c r="B179" s="16" t="inlineStr">
        <is>
          <t>2026-10-02 22:00:31 UTC</t>
        </is>
      </c>
      <c r="C179" s="16" t="inlineStr">
        <is>
          <t>iorta QA (Vitest)</t>
        </is>
      </c>
      <c r="D179" s="16" t="inlineStr">
        <is>
          <t>Access control and input handling (AP-59, BO-02, COM-02, NFR-10/14/15) rejects unknown and malformed fields</t>
        </is>
      </c>
      <c r="E179" s="16" t="inlineStr">
        <is>
          <t>–</t>
        </is>
      </c>
      <c r="F179" s="16" t="inlineStr">
        <is>
          <t>npm run test:e2e -w apps/api</t>
        </is>
      </c>
      <c r="G179" s="16" t="inlineStr">
        <is>
          <t>Test passes</t>
        </is>
      </c>
      <c r="H179" s="16" t="inlineStr">
        <is>
          <t>passed</t>
        </is>
      </c>
      <c r="I179" s="17" t="inlineStr">
        <is>
          <t>Passed</t>
        </is>
      </c>
    </row>
    <row r="180">
      <c r="A180" s="16" t="inlineStr">
        <is>
          <t>Suite re-run (api-e2e)</t>
        </is>
      </c>
      <c r="B180" s="16" t="inlineStr">
        <is>
          <t>2026-10-02 22:00:31 UTC</t>
        </is>
      </c>
      <c r="C180" s="16" t="inlineStr">
        <is>
          <t>iorta QA (Vitest)</t>
        </is>
      </c>
      <c r="D180" s="16" t="inlineStr">
        <is>
          <t>Access control and input handling (AP-59, BO-02, COM-02, NFR-10/14/15) never exposes internal error details and returns a correlation id</t>
        </is>
      </c>
      <c r="E180" s="16" t="inlineStr">
        <is>
          <t>–</t>
        </is>
      </c>
      <c r="F180" s="16" t="inlineStr">
        <is>
          <t>npm run test:e2e -w apps/api</t>
        </is>
      </c>
      <c r="G180" s="16" t="inlineStr">
        <is>
          <t>Test passes</t>
        </is>
      </c>
      <c r="H180" s="16" t="inlineStr">
        <is>
          <t>passed</t>
        </is>
      </c>
      <c r="I180" s="17" t="inlineStr">
        <is>
          <t>Passed</t>
        </is>
      </c>
    </row>
    <row r="181">
      <c r="A181" s="16" t="inlineStr">
        <is>
          <t>Suite re-run (api-e2e)</t>
        </is>
      </c>
      <c r="B181" s="16" t="inlineStr">
        <is>
          <t>2026-10-02 22:00:31 UTC</t>
        </is>
      </c>
      <c r="C181" s="16" t="inlineStr">
        <is>
          <t>iorta QA (Vitest)</t>
        </is>
      </c>
      <c r="D181" s="16" t="inlineStr">
        <is>
          <t>Access control and input handling (AP-59, BO-02, COM-02, NFR-10/14/15) sends security headers and hides the framework</t>
        </is>
      </c>
      <c r="E181" s="16" t="inlineStr">
        <is>
          <t>–</t>
        </is>
      </c>
      <c r="F181" s="16" t="inlineStr">
        <is>
          <t>npm run test:e2e -w apps/api</t>
        </is>
      </c>
      <c r="G181" s="16" t="inlineStr">
        <is>
          <t>Test passes</t>
        </is>
      </c>
      <c r="H181" s="16" t="inlineStr">
        <is>
          <t>passed</t>
        </is>
      </c>
      <c r="I181" s="17" t="inlineStr">
        <is>
          <t>Passed</t>
        </is>
      </c>
    </row>
    <row r="182">
      <c r="A182" s="16" t="inlineStr">
        <is>
          <t>Suite re-run (api-e2e)</t>
        </is>
      </c>
      <c r="B182" s="16" t="inlineStr">
        <is>
          <t>2026-10-02 22:00:31 UTC</t>
        </is>
      </c>
      <c r="C182" s="16" t="inlineStr">
        <is>
          <t>iorta QA (Vitest)</t>
        </is>
      </c>
      <c r="D182" s="16" t="inlineStr">
        <is>
          <t>Access control and input handling (AP-59, BO-02, COM-02, NFR-10/14/15) authenticates system-to-system calls with an API key</t>
        </is>
      </c>
      <c r="E182" s="16" t="inlineStr">
        <is>
          <t>–</t>
        </is>
      </c>
      <c r="F182" s="16" t="inlineStr">
        <is>
          <t>npm run test:e2e -w apps/api</t>
        </is>
      </c>
      <c r="G182" s="16" t="inlineStr">
        <is>
          <t>Test passes</t>
        </is>
      </c>
      <c r="H182" s="16" t="inlineStr">
        <is>
          <t>passed</t>
        </is>
      </c>
      <c r="I182" s="17" t="inlineStr">
        <is>
          <t>Passed</t>
        </is>
      </c>
    </row>
    <row r="183">
      <c r="A183" s="16" t="inlineStr">
        <is>
          <t>Suite re-run (api-e2e)</t>
        </is>
      </c>
      <c r="B183" s="16" t="inlineStr">
        <is>
          <t>2026-10-02 22:00:31 UTC</t>
        </is>
      </c>
      <c r="C183" s="16" t="inlineStr">
        <is>
          <t>iorta QA (Vitest)</t>
        </is>
      </c>
      <c r="D183" s="16" t="inlineStr">
        <is>
          <t>Access control and input handling (AP-59, BO-02, COM-02, NFR-10/14/15) stores identification numbers encrypted and shows them masked</t>
        </is>
      </c>
      <c r="E183" s="16" t="inlineStr">
        <is>
          <t>–</t>
        </is>
      </c>
      <c r="F183" s="16" t="inlineStr">
        <is>
          <t>npm run test:e2e -w apps/api</t>
        </is>
      </c>
      <c r="G183" s="16" t="inlineStr">
        <is>
          <t>Test passes</t>
        </is>
      </c>
      <c r="H183" s="16" t="inlineStr">
        <is>
          <t>passed</t>
        </is>
      </c>
      <c r="I183" s="17" t="inlineStr">
        <is>
          <t>Passed</t>
        </is>
      </c>
    </row>
    <row r="184">
      <c r="A184" s="16" t="inlineStr">
        <is>
          <t>Suite re-run (api-e2e)</t>
        </is>
      </c>
      <c r="B184" s="16" t="inlineStr">
        <is>
          <t>2026-10-02 22:00:31 UTC</t>
        </is>
      </c>
      <c r="C184" s="16" t="inlineStr">
        <is>
          <t>iorta QA (Vitest)</t>
        </is>
      </c>
      <c r="D184" s="16" t="inlineStr">
        <is>
          <t>Access control and input handling (AP-59, BO-02, COM-02, NFR-10/14/15) keeps the audit trail append-only at database level</t>
        </is>
      </c>
      <c r="E184" s="16" t="inlineStr">
        <is>
          <t>–</t>
        </is>
      </c>
      <c r="F184" s="16" t="inlineStr">
        <is>
          <t>npm run test:e2e -w apps/api</t>
        </is>
      </c>
      <c r="G184" s="16" t="inlineStr">
        <is>
          <t>Test passes</t>
        </is>
      </c>
      <c r="H184" s="16" t="inlineStr">
        <is>
          <t>passed</t>
        </is>
      </c>
      <c r="I184" s="17" t="inlineStr">
        <is>
          <t>Passed</t>
        </is>
      </c>
    </row>
    <row r="185">
      <c r="A185" s="16" t="inlineStr">
        <is>
          <t>Suite re-run (api-e2e)</t>
        </is>
      </c>
      <c r="B185" s="16" t="inlineStr">
        <is>
          <t>2026-10-02 22:00:31 UTC</t>
        </is>
      </c>
      <c r="C185" s="16" t="inlineStr">
        <is>
          <t>iorta QA (Vitest)</t>
        </is>
      </c>
      <c r="D185" s="16" t="inlineStr">
        <is>
          <t>Authentication and session security (AP-01..04, BO-01) rejects wrong credentials with a generic message</t>
        </is>
      </c>
      <c r="E185" s="16" t="inlineStr">
        <is>
          <t>–</t>
        </is>
      </c>
      <c r="F185" s="16" t="inlineStr">
        <is>
          <t>npm run test:e2e -w apps/api</t>
        </is>
      </c>
      <c r="G185" s="16" t="inlineStr">
        <is>
          <t>Test passes</t>
        </is>
      </c>
      <c r="H185" s="16" t="inlineStr">
        <is>
          <t>passed</t>
        </is>
      </c>
      <c r="I185" s="17" t="inlineStr">
        <is>
          <t>Passed</t>
        </is>
      </c>
    </row>
    <row r="186">
      <c r="A186" s="16" t="inlineStr">
        <is>
          <t>Suite re-run (api-e2e)</t>
        </is>
      </c>
      <c r="B186" s="16" t="inlineStr">
        <is>
          <t>2026-10-02 22:00:31 UTC</t>
        </is>
      </c>
      <c r="C186" s="16" t="inlineStr">
        <is>
          <t>iorta QA (Vitest)</t>
        </is>
      </c>
      <c r="D186" s="16" t="inlineStr">
        <is>
          <t>Authentication and session security (AP-01..04, BO-01) issues an HttpOnly, SameSite=Strict session cookie and never returns secrets</t>
        </is>
      </c>
      <c r="E186" s="16" t="inlineStr">
        <is>
          <t>–</t>
        </is>
      </c>
      <c r="F186" s="16" t="inlineStr">
        <is>
          <t>npm run test:e2e -w apps/api</t>
        </is>
      </c>
      <c r="G186" s="16" t="inlineStr">
        <is>
          <t>Test passes</t>
        </is>
      </c>
      <c r="H186" s="16" t="inlineStr">
        <is>
          <t>passed</t>
        </is>
      </c>
      <c r="I186" s="17" t="inlineStr">
        <is>
          <t>Passed</t>
        </is>
      </c>
    </row>
    <row r="187">
      <c r="A187" s="16" t="inlineStr">
        <is>
          <t>Suite re-run (api-e2e)</t>
        </is>
      </c>
      <c r="B187" s="16" t="inlineStr">
        <is>
          <t>2026-10-02 22:00:31 UTC</t>
        </is>
      </c>
      <c r="C187" s="16" t="inlineStr">
        <is>
          <t>iorta QA (Vitest)</t>
        </is>
      </c>
      <c r="D187" s="16" t="inlineStr">
        <is>
          <t>Authentication and session security (AP-01..04, BO-01) locks the account after the configured number of failed attempts</t>
        </is>
      </c>
      <c r="E187" s="16" t="inlineStr">
        <is>
          <t>–</t>
        </is>
      </c>
      <c r="F187" s="16" t="inlineStr">
        <is>
          <t>npm run test:e2e -w apps/api</t>
        </is>
      </c>
      <c r="G187" s="16" t="inlineStr">
        <is>
          <t>Test passes</t>
        </is>
      </c>
      <c r="H187" s="16" t="inlineStr">
        <is>
          <t>passed</t>
        </is>
      </c>
      <c r="I187" s="17" t="inlineStr">
        <is>
          <t>Passed</t>
        </is>
      </c>
    </row>
    <row r="188">
      <c r="A188" s="16" t="inlineStr">
        <is>
          <t>Suite re-run (api-e2e)</t>
        </is>
      </c>
      <c r="B188" s="16" t="inlineStr">
        <is>
          <t>2026-10-02 22:00:31 UTC</t>
        </is>
      </c>
      <c r="C188" s="16" t="inlineStr">
        <is>
          <t>iorta QA (Vitest)</t>
        </is>
      </c>
      <c r="D188" s="16" t="inlineStr">
        <is>
          <t>Authentication and session security (AP-01..04, BO-01) requires the CSRF token on state-changing requests</t>
        </is>
      </c>
      <c r="E188" s="16" t="inlineStr">
        <is>
          <t>–</t>
        </is>
      </c>
      <c r="F188" s="16" t="inlineStr">
        <is>
          <t>npm run test:e2e -w apps/api</t>
        </is>
      </c>
      <c r="G188" s="16" t="inlineStr">
        <is>
          <t>Test passes</t>
        </is>
      </c>
      <c r="H188" s="16" t="inlineStr">
        <is>
          <t>passed</t>
        </is>
      </c>
      <c r="I188" s="17" t="inlineStr">
        <is>
          <t>Passed</t>
        </is>
      </c>
    </row>
    <row r="189">
      <c r="A189" s="16" t="inlineStr">
        <is>
          <t>Suite re-run (api-e2e)</t>
        </is>
      </c>
      <c r="B189" s="16" t="inlineStr">
        <is>
          <t>2026-10-02 22:00:31 UTC</t>
        </is>
      </c>
      <c r="C189" s="16" t="inlineStr">
        <is>
          <t>iorta QA (Vitest)</t>
        </is>
      </c>
      <c r="D189" s="16" t="inlineStr">
        <is>
          <t>Authentication and session security (AP-01..04, BO-01) ends the session on logout</t>
        </is>
      </c>
      <c r="E189" s="16" t="inlineStr">
        <is>
          <t>–</t>
        </is>
      </c>
      <c r="F189" s="16" t="inlineStr">
        <is>
          <t>npm run test:e2e -w apps/api</t>
        </is>
      </c>
      <c r="G189" s="16" t="inlineStr">
        <is>
          <t>Test passes</t>
        </is>
      </c>
      <c r="H189" s="16" t="inlineStr">
        <is>
          <t>passed</t>
        </is>
      </c>
      <c r="I189" s="17" t="inlineStr">
        <is>
          <t>Passed</t>
        </is>
      </c>
    </row>
    <row r="190">
      <c r="A190" s="16" t="inlineStr">
        <is>
          <t>Suite re-run (api-e2e)</t>
        </is>
      </c>
      <c r="B190" s="16" t="inlineStr">
        <is>
          <t>2026-10-02 22:00:31 UTC</t>
        </is>
      </c>
      <c r="C190" s="16" t="inlineStr">
        <is>
          <t>iorta QA (Vitest)</t>
        </is>
      </c>
      <c r="D190" s="16" t="inlineStr">
        <is>
          <t>Authentication and session security (AP-01..04, BO-01) keeps only one active session per user</t>
        </is>
      </c>
      <c r="E190" s="16" t="inlineStr">
        <is>
          <t>–</t>
        </is>
      </c>
      <c r="F190" s="16" t="inlineStr">
        <is>
          <t>npm run test:e2e -w apps/api</t>
        </is>
      </c>
      <c r="G190" s="16" t="inlineStr">
        <is>
          <t>Test passes</t>
        </is>
      </c>
      <c r="H190" s="16" t="inlineStr">
        <is>
          <t>passed</t>
        </is>
      </c>
      <c r="I190" s="17" t="inlineStr">
        <is>
          <t>Passed</t>
        </is>
      </c>
    </row>
    <row r="191">
      <c r="A191" s="16" t="inlineStr">
        <is>
          <t>Suite re-run (api-e2e)</t>
        </is>
      </c>
      <c r="B191" s="16" t="inlineStr">
        <is>
          <t>2026-10-02 22:00:31 UTC</t>
        </is>
      </c>
      <c r="C191" s="16" t="inlineStr">
        <is>
          <t>iorta QA (Vitest)</t>
        </is>
      </c>
      <c r="D191" s="16" t="inlineStr">
        <is>
          <t>Authentication and session security (AP-01..04, BO-01) forces a temporary password to be changed before anything else</t>
        </is>
      </c>
      <c r="E191" s="16" t="inlineStr">
        <is>
          <t>–</t>
        </is>
      </c>
      <c r="F191" s="16" t="inlineStr">
        <is>
          <t>npm run test:e2e -w apps/api</t>
        </is>
      </c>
      <c r="G191" s="16" t="inlineStr">
        <is>
          <t>Test passes</t>
        </is>
      </c>
      <c r="H191" s="16" t="inlineStr">
        <is>
          <t>passed</t>
        </is>
      </c>
      <c r="I191" s="17" t="inlineStr">
        <is>
          <t>Passed</t>
        </is>
      </c>
    </row>
    <row r="192">
      <c r="A192" s="16" t="inlineStr">
        <is>
          <t>Suite re-run (api-e2e)</t>
        </is>
      </c>
      <c r="B192" s="16" t="inlineStr">
        <is>
          <t>2026-10-02 22:00:31 UTC</t>
        </is>
      </c>
      <c r="C192" s="16" t="inlineStr">
        <is>
          <t>iorta QA (Vitest)</t>
        </is>
      </c>
      <c r="D192" s="16" t="inlineStr">
        <is>
          <t>Back-office operations onboards a sub-agent through registration, AML, documents and approval (AP-07, BO-10/13)</t>
        </is>
      </c>
      <c r="E192" s="16" t="inlineStr">
        <is>
          <t>–</t>
        </is>
      </c>
      <c r="F192" s="16" t="inlineStr">
        <is>
          <t>npm run test:e2e -w apps/api</t>
        </is>
      </c>
      <c r="G192" s="16" t="inlineStr">
        <is>
          <t>Test passes</t>
        </is>
      </c>
      <c r="H192" s="16" t="inlineStr">
        <is>
          <t>passed</t>
        </is>
      </c>
      <c r="I192" s="17" t="inlineStr">
        <is>
          <t>Passed</t>
        </is>
      </c>
    </row>
    <row r="193">
      <c r="A193" s="16" t="inlineStr">
        <is>
          <t>Suite re-run (api-e2e)</t>
        </is>
      </c>
      <c r="B193" s="16" t="inlineStr">
        <is>
          <t>2026-10-02 22:00:31 UTC</t>
        </is>
      </c>
      <c r="C193" s="16" t="inlineStr">
        <is>
          <t>iorta QA (Vitest)</t>
        </is>
      </c>
      <c r="D193" s="16" t="inlineStr">
        <is>
          <t>Back-office operations asks passport holders for a passport copy instead of an IC copy</t>
        </is>
      </c>
      <c r="E193" s="16" t="inlineStr">
        <is>
          <t>–</t>
        </is>
      </c>
      <c r="F193" s="16" t="inlineStr">
        <is>
          <t>npm run test:e2e -w apps/api</t>
        </is>
      </c>
      <c r="G193" s="16" t="inlineStr">
        <is>
          <t>Test passes</t>
        </is>
      </c>
      <c r="H193" s="16" t="inlineStr">
        <is>
          <t>passed</t>
        </is>
      </c>
      <c r="I193" s="17" t="inlineStr">
        <is>
          <t>Passed</t>
        </is>
      </c>
    </row>
    <row r="194">
      <c r="A194" s="16" t="inlineStr">
        <is>
          <t>Suite re-run (api-e2e)</t>
        </is>
      </c>
      <c r="B194" s="16" t="inlineStr">
        <is>
          <t>2026-10-02 22:00:31 UTC</t>
        </is>
      </c>
      <c r="C194" s="16" t="inlineStr">
        <is>
          <t>iorta QA (Vitest)</t>
        </is>
      </c>
      <c r="D194" s="16" t="inlineStr">
        <is>
          <t>Back-office operations closes a pending registration when Compliance confirms an AML match</t>
        </is>
      </c>
      <c r="E194" s="16" t="inlineStr">
        <is>
          <t>–</t>
        </is>
      </c>
      <c r="F194" s="16" t="inlineStr">
        <is>
          <t>npm run test:e2e -w apps/api</t>
        </is>
      </c>
      <c r="G194" s="16" t="inlineStr">
        <is>
          <t>Test passes</t>
        </is>
      </c>
      <c r="H194" s="16" t="inlineStr">
        <is>
          <t>passed</t>
        </is>
      </c>
      <c r="I194" s="17" t="inlineStr">
        <is>
          <t>Passed</t>
        </is>
      </c>
    </row>
    <row r="195">
      <c r="A195" s="16" t="inlineStr">
        <is>
          <t>Suite re-run (api-e2e)</t>
        </is>
      </c>
      <c r="B195" s="16" t="inlineStr">
        <is>
          <t>2026-10-02 22:00:31 UTC</t>
        </is>
      </c>
      <c r="C195" s="16" t="inlineStr">
        <is>
          <t>iorta QA (Vitest)</t>
        </is>
      </c>
      <c r="D195" s="16" t="inlineStr">
        <is>
          <t>Back-office operations routes a watch-list match to Compliance and records the review (AP-16, BO-13..15)</t>
        </is>
      </c>
      <c r="E195" s="16" t="inlineStr">
        <is>
          <t>–</t>
        </is>
      </c>
      <c r="F195" s="16" t="inlineStr">
        <is>
          <t>npm run test:e2e -w apps/api</t>
        </is>
      </c>
      <c r="G195" s="16" t="inlineStr">
        <is>
          <t>Test passes</t>
        </is>
      </c>
      <c r="H195" s="16" t="inlineStr">
        <is>
          <t>passed</t>
        </is>
      </c>
      <c r="I195" s="17" t="inlineStr">
        <is>
          <t>Passed</t>
        </is>
      </c>
    </row>
    <row r="196">
      <c r="A196" s="16" t="inlineStr">
        <is>
          <t>Suite re-run (api-e2e)</t>
        </is>
      </c>
      <c r="B196" s="16" t="inlineStr">
        <is>
          <t>2026-10-02 22:00:31 UTC</t>
        </is>
      </c>
      <c r="C196" s="16" t="inlineStr">
        <is>
          <t>iorta QA (Vitest)</t>
        </is>
      </c>
      <c r="D196" s="16" t="inlineStr">
        <is>
          <t>Back-office operations manages an issue through assignment, comments and resolution with SLA dates (AP-55..57, BO-29..31)</t>
        </is>
      </c>
      <c r="E196" s="16" t="inlineStr">
        <is>
          <t>–</t>
        </is>
      </c>
      <c r="F196" s="16" t="inlineStr">
        <is>
          <t>npm run test:e2e -w apps/api</t>
        </is>
      </c>
      <c r="G196" s="16" t="inlineStr">
        <is>
          <t>Test passes</t>
        </is>
      </c>
      <c r="H196" s="16" t="inlineStr">
        <is>
          <t>passed</t>
        </is>
      </c>
      <c r="I196" s="17" t="inlineStr">
        <is>
          <t>Passed</t>
        </is>
      </c>
    </row>
    <row r="197">
      <c r="A197" s="16" t="inlineStr">
        <is>
          <t>Suite re-run (api-e2e)</t>
        </is>
      </c>
      <c r="B197" s="16" t="inlineStr">
        <is>
          <t>2026-10-02 22:00:31 UTC</t>
        </is>
      </c>
      <c r="C197" s="16" t="inlineStr">
        <is>
          <t>iorta QA (Vitest)</t>
        </is>
      </c>
      <c r="D197" s="16" t="inlineStr">
        <is>
          <t>Back-office operations accepts claim notifications only within the period of cover (AP-43)</t>
        </is>
      </c>
      <c r="E197" s="16" t="inlineStr">
        <is>
          <t>–</t>
        </is>
      </c>
      <c r="F197" s="16" t="inlineStr">
        <is>
          <t>npm run test:e2e -w apps/api</t>
        </is>
      </c>
      <c r="G197" s="16" t="inlineStr">
        <is>
          <t>Test passes</t>
        </is>
      </c>
      <c r="H197" s="16" t="inlineStr">
        <is>
          <t>Error: expected 201 "Created", got 422 "Unprocessable Entity"</t>
        </is>
      </c>
      <c r="I197" s="20" t="inlineStr">
        <is>
          <t>Failed</t>
        </is>
      </c>
    </row>
    <row r="198">
      <c r="A198" s="16" t="inlineStr">
        <is>
          <t>Suite re-run (api-e2e)</t>
        </is>
      </c>
      <c r="B198" s="16" t="inlineStr">
        <is>
          <t>2026-10-02 22:00:31 UTC</t>
        </is>
      </c>
      <c r="C198" s="16" t="inlineStr">
        <is>
          <t>iorta QA (Vitest)</t>
        </is>
      </c>
      <c r="D198" s="16" t="inlineStr">
        <is>
          <t>Back-office operations runs every standard report and exports it in each format (BO-22..24)</t>
        </is>
      </c>
      <c r="E198" s="16" t="inlineStr">
        <is>
          <t>–</t>
        </is>
      </c>
      <c r="F198" s="16" t="inlineStr">
        <is>
          <t>npm run test:e2e -w apps/api</t>
        </is>
      </c>
      <c r="G198" s="16" t="inlineStr">
        <is>
          <t>Test passes</t>
        </is>
      </c>
      <c r="H198" s="16" t="inlineStr">
        <is>
          <t>passed</t>
        </is>
      </c>
      <c r="I198" s="17" t="inlineStr">
        <is>
          <t>Passed</t>
        </is>
      </c>
    </row>
    <row r="199">
      <c r="A199" s="16" t="inlineStr">
        <is>
          <t>Suite re-run (api-e2e)</t>
        </is>
      </c>
      <c r="B199" s="16" t="inlineStr">
        <is>
          <t>2026-10-02 22:00:31 UTC</t>
        </is>
      </c>
      <c r="C199" s="16" t="inlineStr">
        <is>
          <t>iorta QA (Vitest)</t>
        </is>
      </c>
      <c r="D199" s="16" t="inlineStr">
        <is>
          <t>Back-office operations runs end-of-day, posts to FIN, reconciles and delivers integration messages (FFR EOD, INT-13..15)</t>
        </is>
      </c>
      <c r="E199" s="16" t="inlineStr">
        <is>
          <t>–</t>
        </is>
      </c>
      <c r="F199" s="16" t="inlineStr">
        <is>
          <t>npm run test:e2e -w apps/api</t>
        </is>
      </c>
      <c r="G199" s="16" t="inlineStr">
        <is>
          <t>Test passes</t>
        </is>
      </c>
      <c r="H199" s="16" t="inlineStr">
        <is>
          <t>passed</t>
        </is>
      </c>
      <c r="I199" s="17" t="inlineStr">
        <is>
          <t>Passed</t>
        </is>
      </c>
    </row>
    <row r="200">
      <c r="A200" s="16" t="inlineStr">
        <is>
          <t>Suite re-run (api-e2e)</t>
        </is>
      </c>
      <c r="B200" s="16" t="inlineStr">
        <is>
          <t>2026-10-02 22:00:31 UTC</t>
        </is>
      </c>
      <c r="C200" s="16" t="inlineStr">
        <is>
          <t>iorta QA (Vitest)</t>
        </is>
      </c>
      <c r="D200" s="16" t="inlineStr">
        <is>
          <t>Back-office operations administers users, roles, parameters, master data and workflows with an audit trail (BO-03/04/26..33, COM-04)</t>
        </is>
      </c>
      <c r="E200" s="16" t="inlineStr">
        <is>
          <t>–</t>
        </is>
      </c>
      <c r="F200" s="16" t="inlineStr">
        <is>
          <t>npm run test:e2e -w apps/api</t>
        </is>
      </c>
      <c r="G200" s="16" t="inlineStr">
        <is>
          <t>Test passes</t>
        </is>
      </c>
      <c r="H200" s="16" t="inlineStr">
        <is>
          <t>passed</t>
        </is>
      </c>
      <c r="I200" s="17" t="inlineStr">
        <is>
          <t>Passed</t>
        </is>
      </c>
    </row>
    <row r="201">
      <c r="A201" s="16" t="inlineStr">
        <is>
          <t>Suite re-run (api-e2e)</t>
        </is>
      </c>
      <c r="B201" s="16" t="inlineStr">
        <is>
          <t>2026-10-02 22:00:31 UTC</t>
        </is>
      </c>
      <c r="C201" s="16" t="inlineStr">
        <is>
          <t>iorta QA (Vitest)</t>
        </is>
      </c>
      <c r="D201" s="16" t="inlineStr">
        <is>
          <t>Back-office operations serves the dashboards (AP-52/53, BO-20/21)</t>
        </is>
      </c>
      <c r="E201" s="16" t="inlineStr">
        <is>
          <t>–</t>
        </is>
      </c>
      <c r="F201" s="16" t="inlineStr">
        <is>
          <t>npm run test:e2e -w apps/api</t>
        </is>
      </c>
      <c r="G201" s="16" t="inlineStr">
        <is>
          <t>Test passes</t>
        </is>
      </c>
      <c r="H201" s="16" t="inlineStr">
        <is>
          <t>passed</t>
        </is>
      </c>
      <c r="I201" s="17" t="inlineStr">
        <is>
          <t>Passed</t>
        </is>
      </c>
    </row>
    <row r="202">
      <c r="A202" s="16" t="inlineStr">
        <is>
          <t>Suite re-run (api-e2e)</t>
        </is>
      </c>
      <c r="B202" s="16" t="inlineStr">
        <is>
          <t>2026-10-02 22:00:31 UTC</t>
        </is>
      </c>
      <c r="C202" s="16" t="inlineStr">
        <is>
          <t>iorta QA (Vitest)</t>
        </is>
      </c>
      <c r="D202" s="16" t="inlineStr">
        <is>
          <t>Quotation to e-Policy and e-Receipt (FFR03, AP-17..45, BO-16..19) runs the full Professional Takaful Plan journey with maker-checker payment verification</t>
        </is>
      </c>
      <c r="E202" s="16" t="inlineStr">
        <is>
          <t>–</t>
        </is>
      </c>
      <c r="F202" s="16" t="inlineStr">
        <is>
          <t>npm run test:e2e -w apps/api</t>
        </is>
      </c>
      <c r="G202" s="16" t="inlineStr">
        <is>
          <t>Test passes</t>
        </is>
      </c>
      <c r="H202" s="16" t="inlineStr">
        <is>
          <t>passed</t>
        </is>
      </c>
      <c r="I202" s="17" t="inlineStr">
        <is>
          <t>Passed</t>
        </is>
      </c>
    </row>
    <row r="203">
      <c r="A203" s="16" t="inlineStr">
        <is>
          <t>Suite re-run (api-e2e)</t>
        </is>
      </c>
      <c r="B203" s="16" t="inlineStr">
        <is>
          <t>2026-10-02 22:00:31 UTC</t>
        </is>
      </c>
      <c r="C203" s="16" t="inlineStr">
        <is>
          <t>iorta QA (Vitest)</t>
        </is>
      </c>
      <c r="D203" s="16" t="inlineStr">
        <is>
          <t>Quotation to e-Policy and e-Receipt (FFR03, AP-17..45, BO-16..19) blocks new business for an agency with overdue contributions (AP-42)</t>
        </is>
      </c>
      <c r="E203" s="16" t="inlineStr">
        <is>
          <t>–</t>
        </is>
      </c>
      <c r="F203" s="16" t="inlineStr">
        <is>
          <t>npm run test:e2e -w apps/api</t>
        </is>
      </c>
      <c r="G203" s="16" t="inlineStr">
        <is>
          <t>Test passes</t>
        </is>
      </c>
      <c r="H203" s="16" t="inlineStr">
        <is>
          <t>passed</t>
        </is>
      </c>
      <c r="I203" s="17" t="inlineStr">
        <is>
          <t>Passed</t>
        </is>
      </c>
    </row>
    <row r="204">
      <c r="A204" s="16" t="inlineStr">
        <is>
          <t>Suite re-run (api-e2e)</t>
        </is>
      </c>
      <c r="B204" s="16" t="inlineStr">
        <is>
          <t>2026-10-02 22:00:31 UTC</t>
        </is>
      </c>
      <c r="C204" s="16" t="inlineStr">
        <is>
          <t>iorta QA (Vitest)</t>
        </is>
      </c>
      <c r="D204" s="16" t="inlineStr">
        <is>
          <t>Quotation to e-Policy and e-Receipt (FFR03, AP-17..45, BO-16..19) refers high-risk financing for approval and prevents self-approval</t>
        </is>
      </c>
      <c r="E204" s="16" t="inlineStr">
        <is>
          <t>–</t>
        </is>
      </c>
      <c r="F204" s="16" t="inlineStr">
        <is>
          <t>npm run test:e2e -w apps/api</t>
        </is>
      </c>
      <c r="G204" s="16" t="inlineStr">
        <is>
          <t>Test passes</t>
        </is>
      </c>
      <c r="H204" s="16" t="inlineStr">
        <is>
          <t>passed</t>
        </is>
      </c>
      <c r="I204" s="17" t="inlineStr">
        <is>
          <t>Passed</t>
        </is>
      </c>
    </row>
    <row r="205">
      <c r="A205" s="16" t="inlineStr">
        <is>
          <t>Suite re-run (api-e2e)</t>
        </is>
      </c>
      <c r="B205" s="16" t="inlineStr">
        <is>
          <t>2026-10-02 22:00:31 UTC</t>
        </is>
      </c>
      <c r="C205" s="16" t="inlineStr">
        <is>
          <t>iorta QA (Vitest)</t>
        </is>
      </c>
      <c r="D205" s="16" t="inlineStr">
        <is>
          <t>Quotation to e-Policy and e-Receipt (FFR03, AP-17..45, BO-16..19) renews a policy only inside its renewal window</t>
        </is>
      </c>
      <c r="E205" s="16" t="inlineStr">
        <is>
          <t>–</t>
        </is>
      </c>
      <c r="F205" s="16" t="inlineStr">
        <is>
          <t>npm run test:e2e -w apps/api</t>
        </is>
      </c>
      <c r="G205" s="16" t="inlineStr">
        <is>
          <t>Test passes</t>
        </is>
      </c>
      <c r="H205" s="16" t="inlineStr">
        <is>
          <t>passed</t>
        </is>
      </c>
      <c r="I205" s="17" t="inlineStr">
        <is>
          <t>Passed</t>
        </is>
      </c>
    </row>
    <row r="206">
      <c r="A206" s="16" t="inlineStr">
        <is>
          <t>Suite re-run (web-unit)</t>
        </is>
      </c>
      <c r="B206" s="16" t="inlineStr">
        <is>
          <t>2026-10-02 21:45:01 UTC</t>
        </is>
      </c>
      <c r="C206" s="16" t="inlineStr">
        <is>
          <t>iorta QA (Vitest)</t>
        </is>
      </c>
      <c r="D206" s="16" t="inlineStr">
        <is>
          <t>api requests prefixes the API base path, drops empty query parameters and returns the JSON body</t>
        </is>
      </c>
      <c r="E206" s="16" t="inlineStr">
        <is>
          <t>–</t>
        </is>
      </c>
      <c r="F206" s="16" t="inlineStr">
        <is>
          <t>npm test -w apps/web</t>
        </is>
      </c>
      <c r="G206" s="16" t="inlineStr">
        <is>
          <t>Test passes</t>
        </is>
      </c>
      <c r="H206" s="16" t="inlineStr">
        <is>
          <t>passed</t>
        </is>
      </c>
      <c r="I206" s="17" t="inlineStr">
        <is>
          <t>Passed</t>
        </is>
      </c>
    </row>
    <row r="207">
      <c r="A207" s="16" t="inlineStr">
        <is>
          <t>Suite re-run (web-unit)</t>
        </is>
      </c>
      <c r="B207" s="16" t="inlineStr">
        <is>
          <t>2026-10-02 21:45:01 UTC</t>
        </is>
      </c>
      <c r="C207" s="16" t="inlineStr">
        <is>
          <t>iorta QA (Vitest)</t>
        </is>
      </c>
      <c r="D207" s="16" t="inlineStr">
        <is>
          <t>api requests sends the CSRF token and a JSON body on state-changing requests</t>
        </is>
      </c>
      <c r="E207" s="16" t="inlineStr">
        <is>
          <t>–</t>
        </is>
      </c>
      <c r="F207" s="16" t="inlineStr">
        <is>
          <t>npm test -w apps/web</t>
        </is>
      </c>
      <c r="G207" s="16" t="inlineStr">
        <is>
          <t>Test passes</t>
        </is>
      </c>
      <c r="H207" s="16" t="inlineStr">
        <is>
          <t>passed</t>
        </is>
      </c>
      <c r="I207" s="17" t="inlineStr">
        <is>
          <t>Passed</t>
        </is>
      </c>
    </row>
    <row r="208">
      <c r="A208" s="16" t="inlineStr">
        <is>
          <t>Suite re-run (web-unit)</t>
        </is>
      </c>
      <c r="B208" s="16" t="inlineStr">
        <is>
          <t>2026-10-02 21:45:01 UTC</t>
        </is>
      </c>
      <c r="C208" s="16" t="inlineStr">
        <is>
          <t>iorta QA (Vitest)</t>
        </is>
      </c>
      <c r="D208" s="16" t="inlineStr">
        <is>
          <t>api requests does not send the CSRF token on GET requests</t>
        </is>
      </c>
      <c r="E208" s="16" t="inlineStr">
        <is>
          <t>–</t>
        </is>
      </c>
      <c r="F208" s="16" t="inlineStr">
        <is>
          <t>npm test -w apps/web</t>
        </is>
      </c>
      <c r="G208" s="16" t="inlineStr">
        <is>
          <t>Test passes</t>
        </is>
      </c>
      <c r="H208" s="16" t="inlineStr">
        <is>
          <t>passed</t>
        </is>
      </c>
      <c r="I208" s="17" t="inlineStr">
        <is>
          <t>Passed</t>
        </is>
      </c>
    </row>
    <row r="209">
      <c r="A209" s="16" t="inlineStr">
        <is>
          <t>Suite re-run (web-unit)</t>
        </is>
      </c>
      <c r="B209" s="16" t="inlineStr">
        <is>
          <t>2026-10-02 21:45:01 UTC</t>
        </is>
      </c>
      <c r="C209" s="16" t="inlineStr">
        <is>
          <t>iorta QA (Vitest)</t>
        </is>
      </c>
      <c r="D209" s="16" t="inlineStr">
        <is>
          <t>api requests sends uploads as form data without a JSON content type</t>
        </is>
      </c>
      <c r="E209" s="16" t="inlineStr">
        <is>
          <t>–</t>
        </is>
      </c>
      <c r="F209" s="16" t="inlineStr">
        <is>
          <t>npm test -w apps/web</t>
        </is>
      </c>
      <c r="G209" s="16" t="inlineStr">
        <is>
          <t>Test passes</t>
        </is>
      </c>
      <c r="H209" s="16" t="inlineStr">
        <is>
          <t>passed</t>
        </is>
      </c>
      <c r="I209" s="17" t="inlineStr">
        <is>
          <t>Passed</t>
        </is>
      </c>
    </row>
    <row r="210">
      <c r="A210" s="16" t="inlineStr">
        <is>
          <t>Suite re-run (web-unit)</t>
        </is>
      </c>
      <c r="B210" s="16" t="inlineStr">
        <is>
          <t>2026-10-02 21:45:01 UTC</t>
        </is>
      </c>
      <c r="C210" s="16" t="inlineStr">
        <is>
          <t>iorta QA (Vitest)</t>
        </is>
      </c>
      <c r="D210" s="16" t="inlineStr">
        <is>
          <t>api requests resolves to undefined for 204 No Content</t>
        </is>
      </c>
      <c r="E210" s="16" t="inlineStr">
        <is>
          <t>–</t>
        </is>
      </c>
      <c r="F210" s="16" t="inlineStr">
        <is>
          <t>npm test -w apps/web</t>
        </is>
      </c>
      <c r="G210" s="16" t="inlineStr">
        <is>
          <t>Test passes</t>
        </is>
      </c>
      <c r="H210" s="16" t="inlineStr">
        <is>
          <t>passed</t>
        </is>
      </c>
      <c r="I210" s="17" t="inlineStr">
        <is>
          <t>Passed</t>
        </is>
      </c>
    </row>
    <row r="211">
      <c r="A211" s="16" t="inlineStr">
        <is>
          <t>Suite re-run (web-unit)</t>
        </is>
      </c>
      <c r="B211" s="16" t="inlineStr">
        <is>
          <t>2026-10-02 21:45:01 UTC</t>
        </is>
      </c>
      <c r="C211" s="16" t="inlineStr">
        <is>
          <t>iorta QA (Vitest)</t>
        </is>
      </c>
      <c r="D211" s="16" t="inlineStr">
        <is>
          <t>api errors turns an error response into an ApiError with details and correlation id</t>
        </is>
      </c>
      <c r="E211" s="16" t="inlineStr">
        <is>
          <t>–</t>
        </is>
      </c>
      <c r="F211" s="16" t="inlineStr">
        <is>
          <t>npm test -w apps/web</t>
        </is>
      </c>
      <c r="G211" s="16" t="inlineStr">
        <is>
          <t>Test passes</t>
        </is>
      </c>
      <c r="H211" s="16" t="inlineStr">
        <is>
          <t>passed</t>
        </is>
      </c>
      <c r="I211" s="17" t="inlineStr">
        <is>
          <t>Passed</t>
        </is>
      </c>
    </row>
    <row r="212">
      <c r="A212" s="16" t="inlineStr">
        <is>
          <t>Suite re-run (web-unit)</t>
        </is>
      </c>
      <c r="B212" s="16" t="inlineStr">
        <is>
          <t>2026-10-02 21:45:01 UTC</t>
        </is>
      </c>
      <c r="C212" s="16" t="inlineStr">
        <is>
          <t>iorta QA (Vitest)</t>
        </is>
      </c>
      <c r="D212" s="16" t="inlineStr">
        <is>
          <t>api errors uses a generic error when the response body is not JSON</t>
        </is>
      </c>
      <c r="E212" s="16" t="inlineStr">
        <is>
          <t>–</t>
        </is>
      </c>
      <c r="F212" s="16" t="inlineStr">
        <is>
          <t>npm test -w apps/web</t>
        </is>
      </c>
      <c r="G212" s="16" t="inlineStr">
        <is>
          <t>Test passes</t>
        </is>
      </c>
      <c r="H212" s="16" t="inlineStr">
        <is>
          <t>passed</t>
        </is>
      </c>
      <c r="I212" s="17" t="inlineStr">
        <is>
          <t>Passed</t>
        </is>
      </c>
    </row>
    <row r="213">
      <c r="A213" s="16" t="inlineStr">
        <is>
          <t>Suite re-run (web-unit)</t>
        </is>
      </c>
      <c r="B213" s="16" t="inlineStr">
        <is>
          <t>2026-10-02 21:45:01 UTC</t>
        </is>
      </c>
      <c r="C213" s="16" t="inlineStr">
        <is>
          <t>iorta QA (Vitest)</t>
        </is>
      </c>
      <c r="D213" s="16" t="inlineStr">
        <is>
          <t>api errors notifies session-ended listeners on 401</t>
        </is>
      </c>
      <c r="E213" s="16" t="inlineStr">
        <is>
          <t>–</t>
        </is>
      </c>
      <c r="F213" s="16" t="inlineStr">
        <is>
          <t>npm test -w apps/web</t>
        </is>
      </c>
      <c r="G213" s="16" t="inlineStr">
        <is>
          <t>Test passes</t>
        </is>
      </c>
      <c r="H213" s="16" t="inlineStr">
        <is>
          <t>passed</t>
        </is>
      </c>
      <c r="I213" s="17" t="inlineStr">
        <is>
          <t>Passed</t>
        </is>
      </c>
    </row>
    <row r="214">
      <c r="A214" s="16" t="inlineStr">
        <is>
          <t>Suite re-run (web-unit)</t>
        </is>
      </c>
      <c r="B214" s="16" t="inlineStr">
        <is>
          <t>2026-10-02 21:45:01 UTC</t>
        </is>
      </c>
      <c r="C214" s="16" t="inlineStr">
        <is>
          <t>iorta QA (Vitest)</t>
        </is>
      </c>
      <c r="D214" s="16" t="inlineStr">
        <is>
          <t>api errors does not end the session when the login itself is rejected</t>
        </is>
      </c>
      <c r="E214" s="16" t="inlineStr">
        <is>
          <t>–</t>
        </is>
      </c>
      <c r="F214" s="16" t="inlineStr">
        <is>
          <t>npm test -w apps/web</t>
        </is>
      </c>
      <c r="G214" s="16" t="inlineStr">
        <is>
          <t>Test passes</t>
        </is>
      </c>
      <c r="H214" s="16" t="inlineStr">
        <is>
          <t>passed</t>
        </is>
      </c>
      <c r="I214" s="17" t="inlineStr">
        <is>
          <t>Passed</t>
        </is>
      </c>
    </row>
    <row r="215">
      <c r="A215" s="16" t="inlineStr">
        <is>
          <t>Suite re-run (web-unit)</t>
        </is>
      </c>
      <c r="B215" s="16" t="inlineStr">
        <is>
          <t>2026-10-02 21:45:01 UTC</t>
        </is>
      </c>
      <c r="C215" s="16" t="inlineStr">
        <is>
          <t>iorta QA (Vitest)</t>
        </is>
      </c>
      <c r="D215" s="16" t="inlineStr">
        <is>
          <t>api errors stops notifying a listener after it unsubscribes</t>
        </is>
      </c>
      <c r="E215" s="16" t="inlineStr">
        <is>
          <t>–</t>
        </is>
      </c>
      <c r="F215" s="16" t="inlineStr">
        <is>
          <t>npm test -w apps/web</t>
        </is>
      </c>
      <c r="G215" s="16" t="inlineStr">
        <is>
          <t>Test passes</t>
        </is>
      </c>
      <c r="H215" s="16" t="inlineStr">
        <is>
          <t>passed</t>
        </is>
      </c>
      <c r="I215" s="17" t="inlineStr">
        <is>
          <t>Passed</t>
        </is>
      </c>
    </row>
    <row r="216">
      <c r="A216" s="16" t="inlineStr">
        <is>
          <t>Suite re-run (web-unit)</t>
        </is>
      </c>
      <c r="B216" s="16" t="inlineStr">
        <is>
          <t>2026-10-02 21:45:01 UTC</t>
        </is>
      </c>
      <c r="C216" s="16" t="inlineStr">
        <is>
          <t>iorta QA (Vitest)</t>
        </is>
      </c>
      <c r="D216" s="16" t="inlineStr">
        <is>
          <t>api errors does not end the session on other client errors</t>
        </is>
      </c>
      <c r="E216" s="16" t="inlineStr">
        <is>
          <t>–</t>
        </is>
      </c>
      <c r="F216" s="16" t="inlineStr">
        <is>
          <t>npm test -w apps/web</t>
        </is>
      </c>
      <c r="G216" s="16" t="inlineStr">
        <is>
          <t>Test passes</t>
        </is>
      </c>
      <c r="H216" s="16" t="inlineStr">
        <is>
          <t>passed</t>
        </is>
      </c>
      <c r="I216" s="17" t="inlineStr">
        <is>
          <t>Passed</t>
        </is>
      </c>
    </row>
    <row r="217">
      <c r="A217" s="16" t="inlineStr">
        <is>
          <t>Suite re-run (web-unit)</t>
        </is>
      </c>
      <c r="B217" s="16" t="inlineStr">
        <is>
          <t>2026-10-02 21:45:01 UTC</t>
        </is>
      </c>
      <c r="C217" s="16" t="inlineStr">
        <is>
          <t>iorta QA (Vitest)</t>
        </is>
      </c>
      <c r="D217" s="16" t="inlineStr">
        <is>
          <t>download raises an ApiError when the file cannot be downloaded</t>
        </is>
      </c>
      <c r="E217" s="16" t="inlineStr">
        <is>
          <t>–</t>
        </is>
      </c>
      <c r="F217" s="16" t="inlineStr">
        <is>
          <t>npm test -w apps/web</t>
        </is>
      </c>
      <c r="G217" s="16" t="inlineStr">
        <is>
          <t>Test passes</t>
        </is>
      </c>
      <c r="H217" s="16" t="inlineStr">
        <is>
          <t>passed</t>
        </is>
      </c>
      <c r="I217" s="17" t="inlineStr">
        <is>
          <t>Passed</t>
        </is>
      </c>
    </row>
    <row r="218">
      <c r="A218" s="16" t="inlineStr">
        <is>
          <t>Suite re-run (web-unit)</t>
        </is>
      </c>
      <c r="B218" s="16" t="inlineStr">
        <is>
          <t>2026-10-02 21:45:01 UTC</t>
        </is>
      </c>
      <c r="C218" s="16" t="inlineStr">
        <is>
          <t>iorta QA (Vitest)</t>
        </is>
      </c>
      <c r="D218" s="16" t="inlineStr">
        <is>
          <t>ErrorAlert renders nothing when there is no error</t>
        </is>
      </c>
      <c r="E218" s="16" t="inlineStr">
        <is>
          <t>–</t>
        </is>
      </c>
      <c r="F218" s="16" t="inlineStr">
        <is>
          <t>npm test -w apps/web</t>
        </is>
      </c>
      <c r="G218" s="16" t="inlineStr">
        <is>
          <t>Test passes</t>
        </is>
      </c>
      <c r="H218" s="16" t="inlineStr">
        <is>
          <t>passed</t>
        </is>
      </c>
      <c r="I218" s="17" t="inlineStr">
        <is>
          <t>Passed</t>
        </is>
      </c>
    </row>
    <row r="219">
      <c r="A219" s="16" t="inlineStr">
        <is>
          <t>Suite re-run (web-unit)</t>
        </is>
      </c>
      <c r="B219" s="16" t="inlineStr">
        <is>
          <t>2026-10-02 21:45:01 UTC</t>
        </is>
      </c>
      <c r="C219" s="16" t="inlineStr">
        <is>
          <t>iorta QA (Vitest)</t>
        </is>
      </c>
      <c r="D219" s="16" t="inlineStr">
        <is>
          <t>ErrorAlert shows the API message and each validation detail</t>
        </is>
      </c>
      <c r="E219" s="16" t="inlineStr">
        <is>
          <t>–</t>
        </is>
      </c>
      <c r="F219" s="16" t="inlineStr">
        <is>
          <t>npm test -w apps/web</t>
        </is>
      </c>
      <c r="G219" s="16" t="inlineStr">
        <is>
          <t>Test passes</t>
        </is>
      </c>
      <c r="H219" s="16" t="inlineStr">
        <is>
          <t>passed</t>
        </is>
      </c>
      <c r="I219" s="17" t="inlineStr">
        <is>
          <t>Passed</t>
        </is>
      </c>
    </row>
    <row r="220">
      <c r="A220" s="16" t="inlineStr">
        <is>
          <t>Suite re-run (web-unit)</t>
        </is>
      </c>
      <c r="B220" s="16" t="inlineStr">
        <is>
          <t>2026-10-02 21:45:01 UTC</t>
        </is>
      </c>
      <c r="C220" s="16" t="inlineStr">
        <is>
          <t>iorta QA (Vitest)</t>
        </is>
      </c>
      <c r="D220" s="16" t="inlineStr">
        <is>
          <t>ErrorAlert shows the support reference for server errors only</t>
        </is>
      </c>
      <c r="E220" s="16" t="inlineStr">
        <is>
          <t>–</t>
        </is>
      </c>
      <c r="F220" s="16" t="inlineStr">
        <is>
          <t>npm test -w apps/web</t>
        </is>
      </c>
      <c r="G220" s="16" t="inlineStr">
        <is>
          <t>Test passes</t>
        </is>
      </c>
      <c r="H220" s="16" t="inlineStr">
        <is>
          <t>passed</t>
        </is>
      </c>
      <c r="I220" s="17" t="inlineStr">
        <is>
          <t>Passed</t>
        </is>
      </c>
    </row>
    <row r="221">
      <c r="A221" s="16" t="inlineStr">
        <is>
          <t>Suite re-run (web-unit)</t>
        </is>
      </c>
      <c r="B221" s="16" t="inlineStr">
        <is>
          <t>2026-10-02 21:45:01 UTC</t>
        </is>
      </c>
      <c r="C221" s="16" t="inlineStr">
        <is>
          <t>iorta QA (Vitest)</t>
        </is>
      </c>
      <c r="D221" s="16" t="inlineStr">
        <is>
          <t>ErrorAlert falls back to a generic message for unexpected errors</t>
        </is>
      </c>
      <c r="E221" s="16" t="inlineStr">
        <is>
          <t>–</t>
        </is>
      </c>
      <c r="F221" s="16" t="inlineStr">
        <is>
          <t>npm test -w apps/web</t>
        </is>
      </c>
      <c r="G221" s="16" t="inlineStr">
        <is>
          <t>Test passes</t>
        </is>
      </c>
      <c r="H221" s="16" t="inlineStr">
        <is>
          <t>passed</t>
        </is>
      </c>
      <c r="I221" s="17" t="inlineStr">
        <is>
          <t>Passed</t>
        </is>
      </c>
    </row>
    <row r="222">
      <c r="A222" s="16" t="inlineStr">
        <is>
          <t>Suite re-run (web-unit)</t>
        </is>
      </c>
      <c r="B222" s="16" t="inlineStr">
        <is>
          <t>2026-10-02 21:45:01 UTC</t>
        </is>
      </c>
      <c r="C222" s="16" t="inlineStr">
        <is>
          <t>iorta QA (Vitest)</t>
        </is>
      </c>
      <c r="D222" s="16" t="inlineStr">
        <is>
          <t>FieldGrid pairs each label with its value</t>
        </is>
      </c>
      <c r="E222" s="16" t="inlineStr">
        <is>
          <t>–</t>
        </is>
      </c>
      <c r="F222" s="16" t="inlineStr">
        <is>
          <t>npm test -w apps/web</t>
        </is>
      </c>
      <c r="G222" s="16" t="inlineStr">
        <is>
          <t>Test passes</t>
        </is>
      </c>
      <c r="H222" s="16" t="inlineStr">
        <is>
          <t>passed</t>
        </is>
      </c>
      <c r="I222" s="17" t="inlineStr">
        <is>
          <t>Passed</t>
        </is>
      </c>
    </row>
    <row r="223">
      <c r="A223" s="16" t="inlineStr">
        <is>
          <t>Suite re-run (web-unit)</t>
        </is>
      </c>
      <c r="B223" s="16" t="inlineStr">
        <is>
          <t>2026-10-02 21:45:01 UTC</t>
        </is>
      </c>
      <c r="C223" s="16" t="inlineStr">
        <is>
          <t>iorta QA (Vitest)</t>
        </is>
      </c>
      <c r="D223" s="16" t="inlineStr">
        <is>
          <t>FieldGrid shows a dash for empty values and skips conditional items</t>
        </is>
      </c>
      <c r="E223" s="16" t="inlineStr">
        <is>
          <t>–</t>
        </is>
      </c>
      <c r="F223" s="16" t="inlineStr">
        <is>
          <t>npm test -w apps/web</t>
        </is>
      </c>
      <c r="G223" s="16" t="inlineStr">
        <is>
          <t>Test passes</t>
        </is>
      </c>
      <c r="H223" s="16" t="inlineStr">
        <is>
          <t>passed</t>
        </is>
      </c>
      <c r="I223" s="17" t="inlineStr">
        <is>
          <t>Passed</t>
        </is>
      </c>
    </row>
    <row r="224">
      <c r="A224" s="16" t="inlineStr">
        <is>
          <t>Suite re-run (web-unit)</t>
        </is>
      </c>
      <c r="B224" s="16" t="inlineStr">
        <is>
          <t>2026-10-02 21:45:01 UTC</t>
        </is>
      </c>
      <c r="C224" s="16" t="inlineStr">
        <is>
          <t>iorta QA (Vitest)</t>
        </is>
      </c>
      <c r="D224" s="16" t="inlineStr">
        <is>
          <t>FieldGrid widens full-width fields across the grid</t>
        </is>
      </c>
      <c r="E224" s="16" t="inlineStr">
        <is>
          <t>–</t>
        </is>
      </c>
      <c r="F224" s="16" t="inlineStr">
        <is>
          <t>npm test -w apps/web</t>
        </is>
      </c>
      <c r="G224" s="16" t="inlineStr">
        <is>
          <t>Test passes</t>
        </is>
      </c>
      <c r="H224" s="16" t="inlineStr">
        <is>
          <t>passed</t>
        </is>
      </c>
      <c r="I224" s="17" t="inlineStr">
        <is>
          <t>Passed</t>
        </is>
      </c>
    </row>
    <row r="225">
      <c r="A225" s="16" t="inlineStr">
        <is>
          <t>Suite re-run (web-unit)</t>
        </is>
      </c>
      <c r="B225" s="16" t="inlineStr">
        <is>
          <t>2026-10-02 21:45:01 UTC</t>
        </is>
      </c>
      <c r="C225" s="16" t="inlineStr">
        <is>
          <t>iorta QA (Vitest)</t>
        </is>
      </c>
      <c r="D225" s="16" t="inlineStr">
        <is>
          <t>Money shows the formatted amount</t>
        </is>
      </c>
      <c r="E225" s="16" t="inlineStr">
        <is>
          <t>–</t>
        </is>
      </c>
      <c r="F225" s="16" t="inlineStr">
        <is>
          <t>npm test -w apps/web</t>
        </is>
      </c>
      <c r="G225" s="16" t="inlineStr">
        <is>
          <t>Test passes</t>
        </is>
      </c>
      <c r="H225" s="16" t="inlineStr">
        <is>
          <t>passed</t>
        </is>
      </c>
      <c r="I225" s="17" t="inlineStr">
        <is>
          <t>Passed</t>
        </is>
      </c>
    </row>
    <row r="226">
      <c r="A226" s="16" t="inlineStr">
        <is>
          <t>Suite re-run (web-unit)</t>
        </is>
      </c>
      <c r="B226" s="16" t="inlineStr">
        <is>
          <t>2026-10-02 21:45:01 UTC</t>
        </is>
      </c>
      <c r="C226" s="16" t="inlineStr">
        <is>
          <t>iorta QA (Vitest)</t>
        </is>
      </c>
      <c r="D226" s="16" t="inlineStr">
        <is>
          <t>Money can be emphasised</t>
        </is>
      </c>
      <c r="E226" s="16" t="inlineStr">
        <is>
          <t>–</t>
        </is>
      </c>
      <c r="F226" s="16" t="inlineStr">
        <is>
          <t>npm test -w apps/web</t>
        </is>
      </c>
      <c r="G226" s="16" t="inlineStr">
        <is>
          <t>Test passes</t>
        </is>
      </c>
      <c r="H226" s="16" t="inlineStr">
        <is>
          <t>passed</t>
        </is>
      </c>
      <c r="I226" s="17" t="inlineStr">
        <is>
          <t>Passed</t>
        </is>
      </c>
    </row>
    <row r="227">
      <c r="A227" s="16" t="inlineStr">
        <is>
          <t>Suite re-run (web-unit)</t>
        </is>
      </c>
      <c r="B227" s="16" t="inlineStr">
        <is>
          <t>2026-10-02 21:45:01 UTC</t>
        </is>
      </c>
      <c r="C227" s="16" t="inlineStr">
        <is>
          <t>iorta QA (Vitest)</t>
        </is>
      </c>
      <c r="D227" s="16" t="inlineStr">
        <is>
          <t>PageHeader shows the breadcrumb, title, status tags and key facts</t>
        </is>
      </c>
      <c r="E227" s="16" t="inlineStr">
        <is>
          <t>–</t>
        </is>
      </c>
      <c r="F227" s="16" t="inlineStr">
        <is>
          <t>npm test -w apps/web</t>
        </is>
      </c>
      <c r="G227" s="16" t="inlineStr">
        <is>
          <t>Test passes</t>
        </is>
      </c>
      <c r="H227" s="16" t="inlineStr">
        <is>
          <t>passed</t>
        </is>
      </c>
      <c r="I227" s="17" t="inlineStr">
        <is>
          <t>Passed</t>
        </is>
      </c>
    </row>
    <row r="228">
      <c r="A228" s="16" t="inlineStr">
        <is>
          <t>Suite re-run (web-unit)</t>
        </is>
      </c>
      <c r="B228" s="16" t="inlineStr">
        <is>
          <t>2026-10-02 21:45:01 UTC</t>
        </is>
      </c>
      <c r="C228" s="16" t="inlineStr">
        <is>
          <t>iorta QA (Vitest)</t>
        </is>
      </c>
      <c r="D228" s="16" t="inlineStr">
        <is>
          <t>PageHeader leaves out the facts row when there are none</t>
        </is>
      </c>
      <c r="E228" s="16" t="inlineStr">
        <is>
          <t>–</t>
        </is>
      </c>
      <c r="F228" s="16" t="inlineStr">
        <is>
          <t>npm test -w apps/web</t>
        </is>
      </c>
      <c r="G228" s="16" t="inlineStr">
        <is>
          <t>Test passes</t>
        </is>
      </c>
      <c r="H228" s="16" t="inlineStr">
        <is>
          <t>passed</t>
        </is>
      </c>
      <c r="I228" s="17" t="inlineStr">
        <is>
          <t>Passed</t>
        </is>
      </c>
    </row>
    <row r="229">
      <c r="A229" s="16" t="inlineStr">
        <is>
          <t>Suite re-run (web-unit)</t>
        </is>
      </c>
      <c r="B229" s="16" t="inlineStr">
        <is>
          <t>2026-10-02 21:45:01 UTC</t>
        </is>
      </c>
      <c r="C229" s="16" t="inlineStr">
        <is>
          <t>iorta QA (Vitest)</t>
        </is>
      </c>
      <c r="D229" s="16" t="inlineStr">
        <is>
          <t>RequirePermission renders the page when the user holds the permission</t>
        </is>
      </c>
      <c r="E229" s="16" t="inlineStr">
        <is>
          <t>–</t>
        </is>
      </c>
      <c r="F229" s="16" t="inlineStr">
        <is>
          <t>npm test -w apps/web</t>
        </is>
      </c>
      <c r="G229" s="16" t="inlineStr">
        <is>
          <t>Test passes</t>
        </is>
      </c>
      <c r="H229" s="16" t="inlineStr">
        <is>
          <t>passed</t>
        </is>
      </c>
      <c r="I229" s="17" t="inlineStr">
        <is>
          <t>Passed</t>
        </is>
      </c>
    </row>
    <row r="230">
      <c r="A230" s="16" t="inlineStr">
        <is>
          <t>Suite re-run (web-unit)</t>
        </is>
      </c>
      <c r="B230" s="16" t="inlineStr">
        <is>
          <t>2026-10-02 21:45:01 UTC</t>
        </is>
      </c>
      <c r="C230" s="16" t="inlineStr">
        <is>
          <t>iorta QA (Vitest)</t>
        </is>
      </c>
      <c r="D230" s="16" t="inlineStr">
        <is>
          <t>RequirePermission shows the not-authorised page when the permission is missing</t>
        </is>
      </c>
      <c r="E230" s="16" t="inlineStr">
        <is>
          <t>–</t>
        </is>
      </c>
      <c r="F230" s="16" t="inlineStr">
        <is>
          <t>npm test -w apps/web</t>
        </is>
      </c>
      <c r="G230" s="16" t="inlineStr">
        <is>
          <t>Test passes</t>
        </is>
      </c>
      <c r="H230" s="16" t="inlineStr">
        <is>
          <t>passed</t>
        </is>
      </c>
      <c r="I230" s="17" t="inlineStr">
        <is>
          <t>Passed</t>
        </is>
      </c>
    </row>
    <row r="231">
      <c r="A231" s="16" t="inlineStr">
        <is>
          <t>Suite re-run (web-unit)</t>
        </is>
      </c>
      <c r="B231" s="16" t="inlineStr">
        <is>
          <t>2026-10-02 21:45:01 UTC</t>
        </is>
      </c>
      <c r="C231" s="16" t="inlineStr">
        <is>
          <t>iorta QA (Vitest)</t>
        </is>
      </c>
      <c r="D231" s="16" t="inlineStr">
        <is>
          <t>StatusTag shows the humanised status with its colour</t>
        </is>
      </c>
      <c r="E231" s="16" t="inlineStr">
        <is>
          <t>–</t>
        </is>
      </c>
      <c r="F231" s="16" t="inlineStr">
        <is>
          <t>npm test -w apps/web</t>
        </is>
      </c>
      <c r="G231" s="16" t="inlineStr">
        <is>
          <t>Test passes</t>
        </is>
      </c>
      <c r="H231" s="16" t="inlineStr">
        <is>
          <t>passed</t>
        </is>
      </c>
      <c r="I231" s="17" t="inlineStr">
        <is>
          <t>Passed</t>
        </is>
      </c>
    </row>
    <row r="232">
      <c r="A232" s="16" t="inlineStr">
        <is>
          <t>Suite re-run (web-unit)</t>
        </is>
      </c>
      <c r="B232" s="16" t="inlineStr">
        <is>
          <t>2026-10-02 21:45:01 UTC</t>
        </is>
      </c>
      <c r="C232" s="16" t="inlineStr">
        <is>
          <t>iorta QA (Vitest)</t>
        </is>
      </c>
      <c r="D232" s="16" t="inlineStr">
        <is>
          <t>StatusTag prefers an explicit label</t>
        </is>
      </c>
      <c r="E232" s="16" t="inlineStr">
        <is>
          <t>–</t>
        </is>
      </c>
      <c r="F232" s="16" t="inlineStr">
        <is>
          <t>npm test -w apps/web</t>
        </is>
      </c>
      <c r="G232" s="16" t="inlineStr">
        <is>
          <t>Test passes</t>
        </is>
      </c>
      <c r="H232" s="16" t="inlineStr">
        <is>
          <t>passed</t>
        </is>
      </c>
      <c r="I232" s="17" t="inlineStr">
        <is>
          <t>Passed</t>
        </is>
      </c>
    </row>
    <row r="233">
      <c r="A233" s="16" t="inlineStr">
        <is>
          <t>Suite re-run (web-unit)</t>
        </is>
      </c>
      <c r="B233" s="16" t="inlineStr">
        <is>
          <t>2026-10-02 21:45:01 UTC</t>
        </is>
      </c>
      <c r="C233" s="16" t="inlineStr">
        <is>
          <t>iorta QA (Vitest)</t>
        </is>
      </c>
      <c r="D233" s="16" t="inlineStr">
        <is>
          <t>StatusTag renders nothing without a status</t>
        </is>
      </c>
      <c r="E233" s="16" t="inlineStr">
        <is>
          <t>–</t>
        </is>
      </c>
      <c r="F233" s="16" t="inlineStr">
        <is>
          <t>npm test -w apps/web</t>
        </is>
      </c>
      <c r="G233" s="16" t="inlineStr">
        <is>
          <t>Test passes</t>
        </is>
      </c>
      <c r="H233" s="16" t="inlineStr">
        <is>
          <t>passed</t>
        </is>
      </c>
      <c r="I233" s="17" t="inlineStr">
        <is>
          <t>Passed</t>
        </is>
      </c>
    </row>
    <row r="234">
      <c r="A234" s="16" t="inlineStr">
        <is>
          <t>Suite re-run (web-unit)</t>
        </is>
      </c>
      <c r="B234" s="16" t="inlineStr">
        <is>
          <t>2026-10-02 21:45:01 UTC</t>
        </is>
      </c>
      <c r="C234" s="16" t="inlineStr">
        <is>
          <t>iorta QA (Vitest)</t>
        </is>
      </c>
      <c r="D234" s="16" t="inlineStr">
        <is>
          <t>initials uses the first two given names</t>
        </is>
      </c>
      <c r="E234" s="16" t="inlineStr">
        <is>
          <t>–</t>
        </is>
      </c>
      <c r="F234" s="16" t="inlineStr">
        <is>
          <t>npm test -w apps/web</t>
        </is>
      </c>
      <c r="G234" s="16" t="inlineStr">
        <is>
          <t>Test passes</t>
        </is>
      </c>
      <c r="H234" s="16" t="inlineStr">
        <is>
          <t>passed</t>
        </is>
      </c>
      <c r="I234" s="17" t="inlineStr">
        <is>
          <t>Passed</t>
        </is>
      </c>
    </row>
    <row r="235">
      <c r="A235" s="16" t="inlineStr">
        <is>
          <t>Suite re-run (web-unit)</t>
        </is>
      </c>
      <c r="B235" s="16" t="inlineStr">
        <is>
          <t>2026-10-02 21:45:01 UTC</t>
        </is>
      </c>
      <c r="C235" s="16" t="inlineStr">
        <is>
          <t>iorta QA (Vitest)</t>
        </is>
      </c>
      <c r="D235" s="16" t="inlineStr">
        <is>
          <t>initials skips honorifics and patronymic particles</t>
        </is>
      </c>
      <c r="E235" s="16" t="inlineStr">
        <is>
          <t>–</t>
        </is>
      </c>
      <c r="F235" s="16" t="inlineStr">
        <is>
          <t>npm test -w apps/web</t>
        </is>
      </c>
      <c r="G235" s="16" t="inlineStr">
        <is>
          <t>Test passes</t>
        </is>
      </c>
      <c r="H235" s="16" t="inlineStr">
        <is>
          <t>passed</t>
        </is>
      </c>
      <c r="I235" s="17" t="inlineStr">
        <is>
          <t>Passed</t>
        </is>
      </c>
    </row>
    <row r="236">
      <c r="A236" s="16" t="inlineStr">
        <is>
          <t>Suite re-run (web-unit)</t>
        </is>
      </c>
      <c r="B236" s="16" t="inlineStr">
        <is>
          <t>2026-10-02 21:45:01 UTC</t>
        </is>
      </c>
      <c r="C236" s="16" t="inlineStr">
        <is>
          <t>iorta QA (Vitest)</t>
        </is>
      </c>
      <c r="D236" s="16" t="inlineStr">
        <is>
          <t>selectedMenuKeys highlights the dashboard only on the module root</t>
        </is>
      </c>
      <c r="E236" s="16" t="inlineStr">
        <is>
          <t>–</t>
        </is>
      </c>
      <c r="F236" s="16" t="inlineStr">
        <is>
          <t>npm test -w apps/web</t>
        </is>
      </c>
      <c r="G236" s="16" t="inlineStr">
        <is>
          <t>Test passes</t>
        </is>
      </c>
      <c r="H236" s="16" t="inlineStr">
        <is>
          <t>passed</t>
        </is>
      </c>
      <c r="I236" s="17" t="inlineStr">
        <is>
          <t>Passed</t>
        </is>
      </c>
    </row>
    <row r="237">
      <c r="A237" s="16" t="inlineStr">
        <is>
          <t>Suite re-run (web-unit)</t>
        </is>
      </c>
      <c r="B237" s="16" t="inlineStr">
        <is>
          <t>2026-10-02 21:45:01 UTC</t>
        </is>
      </c>
      <c r="C237" s="16" t="inlineStr">
        <is>
          <t>iorta QA (Vitest)</t>
        </is>
      </c>
      <c r="D237" s="16" t="inlineStr">
        <is>
          <t>selectedMenuKeys highlights nothing on pages without a menu entry</t>
        </is>
      </c>
      <c r="E237" s="16" t="inlineStr">
        <is>
          <t>–</t>
        </is>
      </c>
      <c r="F237" s="16" t="inlineStr">
        <is>
          <t>npm test -w apps/web</t>
        </is>
      </c>
      <c r="G237" s="16" t="inlineStr">
        <is>
          <t>Test passes</t>
        </is>
      </c>
      <c r="H237" s="16" t="inlineStr">
        <is>
          <t>passed</t>
        </is>
      </c>
      <c r="I237" s="17" t="inlineStr">
        <is>
          <t>Passed</t>
        </is>
      </c>
    </row>
    <row r="238">
      <c r="A238" s="16" t="inlineStr">
        <is>
          <t>Suite re-run (web-unit)</t>
        </is>
      </c>
      <c r="B238" s="16" t="inlineStr">
        <is>
          <t>2026-10-02 21:45:01 UTC</t>
        </is>
      </c>
      <c r="C238" s="16" t="inlineStr">
        <is>
          <t>iorta QA (Vitest)</t>
        </is>
      </c>
      <c r="D238" s="16" t="inlineStr">
        <is>
          <t>selectedMenuKeys highlights the entry whose path is a parent of the current page</t>
        </is>
      </c>
      <c r="E238" s="16" t="inlineStr">
        <is>
          <t>–</t>
        </is>
      </c>
      <c r="F238" s="16" t="inlineStr">
        <is>
          <t>npm test -w apps/web</t>
        </is>
      </c>
      <c r="G238" s="16" t="inlineStr">
        <is>
          <t>Test passes</t>
        </is>
      </c>
      <c r="H238" s="16" t="inlineStr">
        <is>
          <t>passed</t>
        </is>
      </c>
      <c r="I238" s="17" t="inlineStr">
        <is>
          <t>Passed</t>
        </is>
      </c>
    </row>
    <row r="239">
      <c r="A239" s="16" t="inlineStr">
        <is>
          <t>Suite re-run (web-unit)</t>
        </is>
      </c>
      <c r="B239" s="16" t="inlineStr">
        <is>
          <t>2026-10-02 21:45:01 UTC</t>
        </is>
      </c>
      <c r="C239" s="16" t="inlineStr">
        <is>
          <t>iorta QA (Vitest)</t>
        </is>
      </c>
      <c r="D239" s="16" t="inlineStr">
        <is>
          <t>selectedMenuKeys prefers the longest matching entry</t>
        </is>
      </c>
      <c r="E239" s="16" t="inlineStr">
        <is>
          <t>–</t>
        </is>
      </c>
      <c r="F239" s="16" t="inlineStr">
        <is>
          <t>npm test -w apps/web</t>
        </is>
      </c>
      <c r="G239" s="16" t="inlineStr">
        <is>
          <t>Test passes</t>
        </is>
      </c>
      <c r="H239" s="16" t="inlineStr">
        <is>
          <t>passed</t>
        </is>
      </c>
      <c r="I239" s="17" t="inlineStr">
        <is>
          <t>Passed</t>
        </is>
      </c>
    </row>
    <row r="240">
      <c r="A240" s="16" t="inlineStr">
        <is>
          <t>Suite re-run (web-unit)</t>
        </is>
      </c>
      <c r="B240" s="16" t="inlineStr">
        <is>
          <t>2026-10-02 21:45:01 UTC</t>
        </is>
      </c>
      <c r="C240" s="16" t="inlineStr">
        <is>
          <t>iorta QA (Vitest)</t>
        </is>
      </c>
      <c r="D240" s="16" t="inlineStr">
        <is>
          <t>selectedMenuKeys does not match entries that merely share a prefix</t>
        </is>
      </c>
      <c r="E240" s="16" t="inlineStr">
        <is>
          <t>–</t>
        </is>
      </c>
      <c r="F240" s="16" t="inlineStr">
        <is>
          <t>npm test -w apps/web</t>
        </is>
      </c>
      <c r="G240" s="16" t="inlineStr">
        <is>
          <t>Test passes</t>
        </is>
      </c>
      <c r="H240" s="16" t="inlineStr">
        <is>
          <t>passed</t>
        </is>
      </c>
      <c r="I240" s="17" t="inlineStr">
        <is>
          <t>Passed</t>
        </is>
      </c>
    </row>
    <row r="241">
      <c r="A241" s="16" t="inlineStr">
        <is>
          <t>Suite re-run (web-unit)</t>
        </is>
      </c>
      <c r="B241" s="16" t="inlineStr">
        <is>
          <t>2026-10-02 21:45:01 UTC</t>
        </is>
      </c>
      <c r="C241" s="16" t="inlineStr">
        <is>
          <t>iorta QA (Vitest)</t>
        </is>
      </c>
      <c r="D241" s="16" t="inlineStr">
        <is>
          <t>selectedMenuKeys ignores a trailing slash</t>
        </is>
      </c>
      <c r="E241" s="16" t="inlineStr">
        <is>
          <t>–</t>
        </is>
      </c>
      <c r="F241" s="16" t="inlineStr">
        <is>
          <t>npm test -w apps/web</t>
        </is>
      </c>
      <c r="G241" s="16" t="inlineStr">
        <is>
          <t>Test passes</t>
        </is>
      </c>
      <c r="H241" s="16" t="inlineStr">
        <is>
          <t>passed</t>
        </is>
      </c>
      <c r="I241" s="17" t="inlineStr">
        <is>
          <t>Passed</t>
        </is>
      </c>
    </row>
    <row r="242">
      <c r="A242" s="16" t="inlineStr">
        <is>
          <t>Suite re-run (web-unit)</t>
        </is>
      </c>
      <c r="B242" s="16" t="inlineStr">
        <is>
          <t>2026-10-02 21:45:01 UTC</t>
        </is>
      </c>
      <c r="C242" s="16" t="inlineStr">
        <is>
          <t>iorta QA (Vitest)</t>
        </is>
      </c>
      <c r="D242" s="16" t="inlineStr">
        <is>
          <t>groupOfPath returns the group holding the highlighted entry</t>
        </is>
      </c>
      <c r="E242" s="16" t="inlineStr">
        <is>
          <t>–</t>
        </is>
      </c>
      <c r="F242" s="16" t="inlineStr">
        <is>
          <t>npm test -w apps/web</t>
        </is>
      </c>
      <c r="G242" s="16" t="inlineStr">
        <is>
          <t>Test passes</t>
        </is>
      </c>
      <c r="H242" s="16" t="inlineStr">
        <is>
          <t>passed</t>
        </is>
      </c>
      <c r="I242" s="17" t="inlineStr">
        <is>
          <t>Passed</t>
        </is>
      </c>
    </row>
    <row r="243">
      <c r="A243" s="16" t="inlineStr">
        <is>
          <t>Suite re-run (web-unit)</t>
        </is>
      </c>
      <c r="B243" s="16" t="inlineStr">
        <is>
          <t>2026-10-02 21:45:01 UTC</t>
        </is>
      </c>
      <c r="C243" s="16" t="inlineStr">
        <is>
          <t>iorta QA (Vitest)</t>
        </is>
      </c>
      <c r="D243" s="16" t="inlineStr">
        <is>
          <t>groupOfPath returns nothing for top-level entries and pages outside the menu</t>
        </is>
      </c>
      <c r="E243" s="16" t="inlineStr">
        <is>
          <t>–</t>
        </is>
      </c>
      <c r="F243" s="16" t="inlineStr">
        <is>
          <t>npm test -w apps/web</t>
        </is>
      </c>
      <c r="G243" s="16" t="inlineStr">
        <is>
          <t>Test passes</t>
        </is>
      </c>
      <c r="H243" s="16" t="inlineStr">
        <is>
          <t>passed</t>
        </is>
      </c>
      <c r="I243" s="17" t="inlineStr">
        <is>
          <t>Passed</t>
        </is>
      </c>
    </row>
    <row r="244">
      <c r="A244" s="16" t="inlineStr">
        <is>
          <t>Suite re-run (web-unit)</t>
        </is>
      </c>
      <c r="B244" s="16" t="inlineStr">
        <is>
          <t>2026-10-02 21:45:01 UTC</t>
        </is>
      </c>
      <c r="C244" s="16" t="inlineStr">
        <is>
          <t>iorta QA (Vitest)</t>
        </is>
      </c>
      <c r="D244" s="16" t="inlineStr">
        <is>
          <t>formatMoney formats amounts in Brunei dollars with two decimals and thousands separators</t>
        </is>
      </c>
      <c r="E244" s="16" t="inlineStr">
        <is>
          <t>–</t>
        </is>
      </c>
      <c r="F244" s="16" t="inlineStr">
        <is>
          <t>npm test -w apps/web</t>
        </is>
      </c>
      <c r="G244" s="16" t="inlineStr">
        <is>
          <t>Test passes</t>
        </is>
      </c>
      <c r="H244" s="16" t="inlineStr">
        <is>
          <t>passed</t>
        </is>
      </c>
      <c r="I244" s="17" t="inlineStr">
        <is>
          <t>Passed</t>
        </is>
      </c>
    </row>
    <row r="245">
      <c r="A245" s="16" t="inlineStr">
        <is>
          <t>Suite re-run (web-unit)</t>
        </is>
      </c>
      <c r="B245" s="16" t="inlineStr">
        <is>
          <t>2026-10-02 21:45:01 UTC</t>
        </is>
      </c>
      <c r="C245" s="16" t="inlineStr">
        <is>
          <t>iorta QA (Vitest)</t>
        </is>
      </c>
      <c r="D245" s="16" t="inlineStr">
        <is>
          <t>formatMoney rounds to the nearest cent and keeps zero as an amount</t>
        </is>
      </c>
      <c r="E245" s="16" t="inlineStr">
        <is>
          <t>–</t>
        </is>
      </c>
      <c r="F245" s="16" t="inlineStr">
        <is>
          <t>npm test -w apps/web</t>
        </is>
      </c>
      <c r="G245" s="16" t="inlineStr">
        <is>
          <t>Test passes</t>
        </is>
      </c>
      <c r="H245" s="16" t="inlineStr">
        <is>
          <t>passed</t>
        </is>
      </c>
      <c r="I245" s="17" t="inlineStr">
        <is>
          <t>Passed</t>
        </is>
      </c>
    </row>
    <row r="246">
      <c r="A246" s="16" t="inlineStr">
        <is>
          <t>Suite re-run (web-unit)</t>
        </is>
      </c>
      <c r="B246" s="16" t="inlineStr">
        <is>
          <t>2026-10-02 21:45:01 UTC</t>
        </is>
      </c>
      <c r="C246" s="16" t="inlineStr">
        <is>
          <t>iorta QA (Vitest)</t>
        </is>
      </c>
      <c r="D246" s="16" t="inlineStr">
        <is>
          <t>formatMoney shows a dash when there is no amount</t>
        </is>
      </c>
      <c r="E246" s="16" t="inlineStr">
        <is>
          <t>–</t>
        </is>
      </c>
      <c r="F246" s="16" t="inlineStr">
        <is>
          <t>npm test -w apps/web</t>
        </is>
      </c>
      <c r="G246" s="16" t="inlineStr">
        <is>
          <t>Test passes</t>
        </is>
      </c>
      <c r="H246" s="16" t="inlineStr">
        <is>
          <t>passed</t>
        </is>
      </c>
      <c r="I246" s="17" t="inlineStr">
        <is>
          <t>Passed</t>
        </is>
      </c>
    </row>
    <row r="247">
      <c r="A247" s="16" t="inlineStr">
        <is>
          <t>Suite re-run (web-unit)</t>
        </is>
      </c>
      <c r="B247" s="16" t="inlineStr">
        <is>
          <t>2026-10-02 21:45:01 UTC</t>
        </is>
      </c>
      <c r="C247" s="16" t="inlineStr">
        <is>
          <t>iorta QA (Vitest)</t>
        </is>
      </c>
      <c r="D247" s="16" t="inlineStr">
        <is>
          <t>formatNumber groups thousands and shows a dash when there is no value</t>
        </is>
      </c>
      <c r="E247" s="16" t="inlineStr">
        <is>
          <t>–</t>
        </is>
      </c>
      <c r="F247" s="16" t="inlineStr">
        <is>
          <t>npm test -w apps/web</t>
        </is>
      </c>
      <c r="G247" s="16" t="inlineStr">
        <is>
          <t>Test passes</t>
        </is>
      </c>
      <c r="H247" s="16" t="inlineStr">
        <is>
          <t>passed</t>
        </is>
      </c>
      <c r="I247" s="17" t="inlineStr">
        <is>
          <t>Passed</t>
        </is>
      </c>
    </row>
    <row r="248">
      <c r="A248" s="16" t="inlineStr">
        <is>
          <t>Suite re-run (web-unit)</t>
        </is>
      </c>
      <c r="B248" s="16" t="inlineStr">
        <is>
          <t>2026-10-02 21:45:01 UTC</t>
        </is>
      </c>
      <c r="C248" s="16" t="inlineStr">
        <is>
          <t>iorta QA (Vitest)</t>
        </is>
      </c>
      <c r="D248" s="16" t="inlineStr">
        <is>
          <t>formatDate and formatDateTime formats a calendar date as day, short month and year</t>
        </is>
      </c>
      <c r="E248" s="16" t="inlineStr">
        <is>
          <t>–</t>
        </is>
      </c>
      <c r="F248" s="16" t="inlineStr">
        <is>
          <t>npm test -w apps/web</t>
        </is>
      </c>
      <c r="G248" s="16" t="inlineStr">
        <is>
          <t>Test passes</t>
        </is>
      </c>
      <c r="H248" s="16" t="inlineStr">
        <is>
          <t>passed</t>
        </is>
      </c>
      <c r="I248" s="17" t="inlineStr">
        <is>
          <t>Passed</t>
        </is>
      </c>
    </row>
    <row r="249">
      <c r="A249" s="16" t="inlineStr">
        <is>
          <t>Suite re-run (web-unit)</t>
        </is>
      </c>
      <c r="B249" s="16" t="inlineStr">
        <is>
          <t>2026-10-02 21:45:01 UTC</t>
        </is>
      </c>
      <c r="C249" s="16" t="inlineStr">
        <is>
          <t>iorta QA (Vitest)</t>
        </is>
      </c>
      <c r="D249" s="16" t="inlineStr">
        <is>
          <t>formatDate and formatDateTime formats a local timestamp with a 24-hour time</t>
        </is>
      </c>
      <c r="E249" s="16" t="inlineStr">
        <is>
          <t>–</t>
        </is>
      </c>
      <c r="F249" s="16" t="inlineStr">
        <is>
          <t>npm test -w apps/web</t>
        </is>
      </c>
      <c r="G249" s="16" t="inlineStr">
        <is>
          <t>Test passes</t>
        </is>
      </c>
      <c r="H249" s="16" t="inlineStr">
        <is>
          <t>passed</t>
        </is>
      </c>
      <c r="I249" s="17" t="inlineStr">
        <is>
          <t>Passed</t>
        </is>
      </c>
    </row>
    <row r="250">
      <c r="A250" s="16" t="inlineStr">
        <is>
          <t>Suite re-run (web-unit)</t>
        </is>
      </c>
      <c r="B250" s="16" t="inlineStr">
        <is>
          <t>2026-10-02 21:45:01 UTC</t>
        </is>
      </c>
      <c r="C250" s="16" t="inlineStr">
        <is>
          <t>iorta QA (Vitest)</t>
        </is>
      </c>
      <c r="D250" s="16" t="inlineStr">
        <is>
          <t>formatDate and formatDateTime shows a dash for missing dates</t>
        </is>
      </c>
      <c r="E250" s="16" t="inlineStr">
        <is>
          <t>–</t>
        </is>
      </c>
      <c r="F250" s="16" t="inlineStr">
        <is>
          <t>npm test -w apps/web</t>
        </is>
      </c>
      <c r="G250" s="16" t="inlineStr">
        <is>
          <t>Test passes</t>
        </is>
      </c>
      <c r="H250" s="16" t="inlineStr">
        <is>
          <t>passed</t>
        </is>
      </c>
      <c r="I250" s="17" t="inlineStr">
        <is>
          <t>Passed</t>
        </is>
      </c>
    </row>
    <row r="251">
      <c r="A251" s="16" t="inlineStr">
        <is>
          <t>Suite re-run (web-unit)</t>
        </is>
      </c>
      <c r="B251" s="16" t="inlineStr">
        <is>
          <t>2026-10-02 21:45:01 UTC</t>
        </is>
      </c>
      <c r="C251" s="16" t="inlineStr">
        <is>
          <t>iorta QA (Vitest)</t>
        </is>
      </c>
      <c r="D251" s="16" t="inlineStr">
        <is>
          <t>humanise turns an enum code into sentence case</t>
        </is>
      </c>
      <c r="E251" s="16" t="inlineStr">
        <is>
          <t>–</t>
        </is>
      </c>
      <c r="F251" s="16" t="inlineStr">
        <is>
          <t>npm test -w apps/web</t>
        </is>
      </c>
      <c r="G251" s="16" t="inlineStr">
        <is>
          <t>Test passes</t>
        </is>
      </c>
      <c r="H251" s="16" t="inlineStr">
        <is>
          <t>passed</t>
        </is>
      </c>
      <c r="I251" s="17" t="inlineStr">
        <is>
          <t>Passed</t>
        </is>
      </c>
    </row>
    <row r="252">
      <c r="A252" s="16" t="inlineStr">
        <is>
          <t>Suite re-run (web-unit)</t>
        </is>
      </c>
      <c r="B252" s="16" t="inlineStr">
        <is>
          <t>2026-10-02 21:45:01 UTC</t>
        </is>
      </c>
      <c r="C252" s="16" t="inlineStr">
        <is>
          <t>iorta QA (Vitest)</t>
        </is>
      </c>
      <c r="D252" s="16" t="inlineStr">
        <is>
          <t>humanise shows a dash for an empty value</t>
        </is>
      </c>
      <c r="E252" s="16" t="inlineStr">
        <is>
          <t>–</t>
        </is>
      </c>
      <c r="F252" s="16" t="inlineStr">
        <is>
          <t>npm test -w apps/web</t>
        </is>
      </c>
      <c r="G252" s="16" t="inlineStr">
        <is>
          <t>Test passes</t>
        </is>
      </c>
      <c r="H252" s="16" t="inlineStr">
        <is>
          <t>passed</t>
        </is>
      </c>
      <c r="I252" s="17" t="inlineStr">
        <is>
          <t>Passed</t>
        </is>
      </c>
    </row>
    <row r="253">
      <c r="A253" s="16" t="inlineStr">
        <is>
          <t>Suite re-run (web-unit)</t>
        </is>
      </c>
      <c r="B253" s="16" t="inlineStr">
        <is>
          <t>2026-10-02 21:45:01 UTC</t>
        </is>
      </c>
      <c r="C253" s="16" t="inlineStr">
        <is>
          <t>iorta QA (Vitest)</t>
        </is>
      </c>
      <c r="D253" s="16" t="inlineStr">
        <is>
          <t>labelFromKey splits camel-case keys into a sentence-case label</t>
        </is>
      </c>
      <c r="E253" s="16" t="inlineStr">
        <is>
          <t>–</t>
        </is>
      </c>
      <c r="F253" s="16" t="inlineStr">
        <is>
          <t>npm test -w apps/web</t>
        </is>
      </c>
      <c r="G253" s="16" t="inlineStr">
        <is>
          <t>Test passes</t>
        </is>
      </c>
      <c r="H253" s="16" t="inlineStr">
        <is>
          <t>passed</t>
        </is>
      </c>
      <c r="I253" s="17" t="inlineStr">
        <is>
          <t>Passed</t>
        </is>
      </c>
    </row>
    <row r="254">
      <c r="A254" s="16" t="inlineStr">
        <is>
          <t>Suite re-run (web-unit)</t>
        </is>
      </c>
      <c r="B254" s="16" t="inlineStr">
        <is>
          <t>2026-10-02 21:45:01 UTC</t>
        </is>
      </c>
      <c r="C254" s="16" t="inlineStr">
        <is>
          <t>iorta QA (Vitest)</t>
        </is>
      </c>
      <c r="D254" s="16" t="inlineStr">
        <is>
          <t>fileSize uses bytes, kilobytes or megabytes depending on size</t>
        </is>
      </c>
      <c r="E254" s="16" t="inlineStr">
        <is>
          <t>–</t>
        </is>
      </c>
      <c r="F254" s="16" t="inlineStr">
        <is>
          <t>npm test -w apps/web</t>
        </is>
      </c>
      <c r="G254" s="16" t="inlineStr">
        <is>
          <t>Test passes</t>
        </is>
      </c>
      <c r="H254" s="16" t="inlineStr">
        <is>
          <t>passed</t>
        </is>
      </c>
      <c r="I254" s="17" t="inlineStr">
        <is>
          <t>Passed</t>
        </is>
      </c>
    </row>
    <row r="255">
      <c r="A255" s="16" t="inlineStr">
        <is>
          <t>Suite re-run (web-unit)</t>
        </is>
      </c>
      <c r="B255" s="16" t="inlineStr">
        <is>
          <t>2026-10-02 21:45:01 UTC</t>
        </is>
      </c>
      <c r="C255" s="16" t="inlineStr">
        <is>
          <t>iorta QA (Vitest)</t>
        </is>
      </c>
      <c r="D255" s="16" t="inlineStr">
        <is>
          <t>permission codes are unique</t>
        </is>
      </c>
      <c r="E255" s="16" t="inlineStr">
        <is>
          <t>–</t>
        </is>
      </c>
      <c r="F255" s="16" t="inlineStr">
        <is>
          <t>npm test -w apps/web</t>
        </is>
      </c>
      <c r="G255" s="16" t="inlineStr">
        <is>
          <t>Test passes</t>
        </is>
      </c>
      <c r="H255" s="16" t="inlineStr">
        <is>
          <t>passed</t>
        </is>
      </c>
      <c r="I255" s="17" t="inlineStr">
        <is>
          <t>Passed</t>
        </is>
      </c>
    </row>
    <row r="256">
      <c r="A256" s="16" t="inlineStr">
        <is>
          <t>Suite re-run (web-unit)</t>
        </is>
      </c>
      <c r="B256" s="16" t="inlineStr">
        <is>
          <t>2026-10-02 21:45:01 UTC</t>
        </is>
      </c>
      <c r="C256" s="16" t="inlineStr">
        <is>
          <t>iorta QA (Vitest)</t>
        </is>
      </c>
      <c r="D256" s="16" t="inlineStr">
        <is>
          <t>permission codes use the portal or back-office prefix matching their key</t>
        </is>
      </c>
      <c r="E256" s="16" t="inlineStr">
        <is>
          <t>–</t>
        </is>
      </c>
      <c r="F256" s="16" t="inlineStr">
        <is>
          <t>npm test -w apps/web</t>
        </is>
      </c>
      <c r="G256" s="16" t="inlineStr">
        <is>
          <t>Test passes</t>
        </is>
      </c>
      <c r="H256" s="16" t="inlineStr">
        <is>
          <t>passed</t>
        </is>
      </c>
      <c r="I256" s="17" t="inlineStr">
        <is>
          <t>Passed</t>
        </is>
      </c>
    </row>
    <row r="257">
      <c r="A257" s="16" t="inlineStr">
        <is>
          <t>Suite re-run (web-unit)</t>
        </is>
      </c>
      <c r="B257" s="16" t="inlineStr">
        <is>
          <t>2026-10-02 21:45:01 UTC</t>
        </is>
      </c>
      <c r="C257" s="16" t="inlineStr">
        <is>
          <t>iorta QA (Vitest)</t>
        </is>
      </c>
      <c r="D257" s="16" t="inlineStr">
        <is>
          <t>permission codes group every approval permission and nothing else</t>
        </is>
      </c>
      <c r="E257" s="16" t="inlineStr">
        <is>
          <t>–</t>
        </is>
      </c>
      <c r="F257" s="16" t="inlineStr">
        <is>
          <t>npm test -w apps/web</t>
        </is>
      </c>
      <c r="G257" s="16" t="inlineStr">
        <is>
          <t>Test passes</t>
        </is>
      </c>
      <c r="H257" s="16" t="inlineStr">
        <is>
          <t>passed</t>
        </is>
      </c>
      <c r="I257" s="17" t="inlineStr">
        <is>
          <t>Passed</t>
        </is>
      </c>
    </row>
    <row r="258">
      <c r="A258" s="16" t="inlineStr">
        <is>
          <t>Suite re-run (web-unit)</t>
        </is>
      </c>
      <c r="B258" s="16" t="inlineStr">
        <is>
          <t>2026-10-02 21:45:01 UTC</t>
        </is>
      </c>
      <c r="C258" s="16" t="inlineStr">
        <is>
          <t>iorta QA (Vitest)</t>
        </is>
      </c>
      <c r="D258" s="16" t="inlineStr">
        <is>
          <t>statusColour maps statuses to the tag colour of their stage</t>
        </is>
      </c>
      <c r="E258" s="16" t="inlineStr">
        <is>
          <t>–</t>
        </is>
      </c>
      <c r="F258" s="16" t="inlineStr">
        <is>
          <t>npm test -w apps/web</t>
        </is>
      </c>
      <c r="G258" s="16" t="inlineStr">
        <is>
          <t>Test passes</t>
        </is>
      </c>
      <c r="H258" s="16" t="inlineStr">
        <is>
          <t>passed</t>
        </is>
      </c>
      <c r="I258" s="17" t="inlineStr">
        <is>
          <t>Passed</t>
        </is>
      </c>
    </row>
    <row r="259">
      <c r="A259" s="16" t="inlineStr">
        <is>
          <t>Suite re-run (web-unit)</t>
        </is>
      </c>
      <c r="B259" s="16" t="inlineStr">
        <is>
          <t>2026-10-02 21:45:01 UTC</t>
        </is>
      </c>
      <c r="C259" s="16" t="inlineStr">
        <is>
          <t>iorta QA (Vitest)</t>
        </is>
      </c>
      <c r="D259" s="16" t="inlineStr">
        <is>
          <t>statusColour falls back to the default colour for unknown or missing statuses</t>
        </is>
      </c>
      <c r="E259" s="16" t="inlineStr">
        <is>
          <t>–</t>
        </is>
      </c>
      <c r="F259" s="16" t="inlineStr">
        <is>
          <t>npm test -w apps/web</t>
        </is>
      </c>
      <c r="G259" s="16" t="inlineStr">
        <is>
          <t>Test passes</t>
        </is>
      </c>
      <c r="H259" s="16" t="inlineStr">
        <is>
          <t>passed</t>
        </is>
      </c>
      <c r="I259" s="17" t="inlineStr">
        <is>
          <t>Passed</t>
        </is>
      </c>
    </row>
    <row r="260">
      <c r="A260" s="16" t="inlineStr">
        <is>
          <t>Suite re-run (web-unit)</t>
        </is>
      </c>
      <c r="B260" s="16" t="inlineStr">
        <is>
          <t>2026-10-02 21:45:01 UTC</t>
        </is>
      </c>
      <c r="C260" s="16" t="inlineStr">
        <is>
          <t>iorta QA (Vitest)</t>
        </is>
      </c>
      <c r="D260" s="16" t="inlineStr">
        <is>
          <t>CellText shows the text within the given width</t>
        </is>
      </c>
      <c r="E260" s="16" t="inlineStr">
        <is>
          <t>–</t>
        </is>
      </c>
      <c r="F260" s="16" t="inlineStr">
        <is>
          <t>npm test -w apps/web</t>
        </is>
      </c>
      <c r="G260" s="16" t="inlineStr">
        <is>
          <t>Test passes</t>
        </is>
      </c>
      <c r="H260" s="16" t="inlineStr">
        <is>
          <t>passed</t>
        </is>
      </c>
      <c r="I260" s="17" t="inlineStr">
        <is>
          <t>Passed</t>
        </is>
      </c>
    </row>
    <row r="261">
      <c r="A261" s="16" t="inlineStr">
        <is>
          <t>Suite re-run (web-unit)</t>
        </is>
      </c>
      <c r="B261" s="16" t="inlineStr">
        <is>
          <t>2026-10-02 21:45:01 UTC</t>
        </is>
      </c>
      <c r="C261" s="16" t="inlineStr">
        <is>
          <t>iorta QA (Vitest)</t>
        </is>
      </c>
      <c r="D261" s="16" t="inlineStr">
        <is>
          <t>CellText shows a dash when there is no text</t>
        </is>
      </c>
      <c r="E261" s="16" t="inlineStr">
        <is>
          <t>–</t>
        </is>
      </c>
      <c r="F261" s="16" t="inlineStr">
        <is>
          <t>npm test -w apps/web</t>
        </is>
      </c>
      <c r="G261" s="16" t="inlineStr">
        <is>
          <t>Test passes</t>
        </is>
      </c>
      <c r="H261" s="16" t="inlineStr">
        <is>
          <t>passed</t>
        </is>
      </c>
      <c r="I261" s="17" t="inlineStr">
        <is>
          <t>Passed</t>
        </is>
      </c>
    </row>
    <row r="262">
      <c r="A262" s="16" t="inlineStr">
        <is>
          <t>Suite re-run (web-unit)</t>
        </is>
      </c>
      <c r="B262" s="16" t="inlineStr">
        <is>
          <t>2026-10-02 21:45:01 UTC</t>
        </is>
      </c>
      <c r="C262" s="16" t="inlineStr">
        <is>
          <t>iorta QA (Vitest)</t>
        </is>
      </c>
      <c r="D262" s="16" t="inlineStr">
        <is>
          <t>recordPath links to the record page regardless of the entity type spelling</t>
        </is>
      </c>
      <c r="E262" s="16" t="inlineStr">
        <is>
          <t>–</t>
        </is>
      </c>
      <c r="F262" s="16" t="inlineStr">
        <is>
          <t>npm test -w apps/web</t>
        </is>
      </c>
      <c r="G262" s="16" t="inlineStr">
        <is>
          <t>Test passes</t>
        </is>
      </c>
      <c r="H262" s="16" t="inlineStr">
        <is>
          <t>passed</t>
        </is>
      </c>
      <c r="I262" s="17" t="inlineStr">
        <is>
          <t>Passed</t>
        </is>
      </c>
    </row>
    <row r="263">
      <c r="A263" s="16" t="inlineStr">
        <is>
          <t>Suite re-run (web-unit)</t>
        </is>
      </c>
      <c r="B263" s="16" t="inlineStr">
        <is>
          <t>2026-10-02 21:45:01 UTC</t>
        </is>
      </c>
      <c r="C263" s="16" t="inlineStr">
        <is>
          <t>iorta QA (Vitest)</t>
        </is>
      </c>
      <c r="D263" s="16" t="inlineStr">
        <is>
          <t>recordPath uses the portal routes for portal users</t>
        </is>
      </c>
      <c r="E263" s="16" t="inlineStr">
        <is>
          <t>–</t>
        </is>
      </c>
      <c r="F263" s="16" t="inlineStr">
        <is>
          <t>npm test -w apps/web</t>
        </is>
      </c>
      <c r="G263" s="16" t="inlineStr">
        <is>
          <t>Test passes</t>
        </is>
      </c>
      <c r="H263" s="16" t="inlineStr">
        <is>
          <t>passed</t>
        </is>
      </c>
      <c r="I263" s="17" t="inlineStr">
        <is>
          <t>Passed</t>
        </is>
      </c>
    </row>
    <row r="264">
      <c r="A264" s="16" t="inlineStr">
        <is>
          <t>Suite re-run (web-unit)</t>
        </is>
      </c>
      <c r="B264" s="16" t="inlineStr">
        <is>
          <t>2026-10-02 21:45:01 UTC</t>
        </is>
      </c>
      <c r="C264" s="16" t="inlineStr">
        <is>
          <t>iorta QA (Vitest)</t>
        </is>
      </c>
      <c r="D264" s="16" t="inlineStr">
        <is>
          <t>recordPath returns null when the audience has no page for the record or the id is missing</t>
        </is>
      </c>
      <c r="E264" s="16" t="inlineStr">
        <is>
          <t>–</t>
        </is>
      </c>
      <c r="F264" s="16" t="inlineStr">
        <is>
          <t>npm test -w apps/web</t>
        </is>
      </c>
      <c r="G264" s="16" t="inlineStr">
        <is>
          <t>Test passes</t>
        </is>
      </c>
      <c r="H264" s="16" t="inlineStr">
        <is>
          <t>passed</t>
        </is>
      </c>
      <c r="I264" s="17" t="inlineStr">
        <is>
          <t>Passed</t>
        </is>
      </c>
    </row>
    <row r="265">
      <c r="A265" s="16" t="inlineStr">
        <is>
          <t>Suite re-run (web-unit)</t>
        </is>
      </c>
      <c r="B265" s="16" t="inlineStr">
        <is>
          <t>2026-10-02 21:45:01 UTC</t>
        </is>
      </c>
      <c r="C265" s="16" t="inlineStr">
        <is>
          <t>iorta QA (Vitest)</t>
        </is>
      </c>
      <c r="D265" s="16" t="inlineStr">
        <is>
          <t>notificationPath keeps links that already point into a module</t>
        </is>
      </c>
      <c r="E265" s="16" t="inlineStr">
        <is>
          <t>–</t>
        </is>
      </c>
      <c r="F265" s="16" t="inlineStr">
        <is>
          <t>npm test -w apps/web</t>
        </is>
      </c>
      <c r="G265" s="16" t="inlineStr">
        <is>
          <t>Test passes</t>
        </is>
      </c>
      <c r="H265" s="16" t="inlineStr">
        <is>
          <t>passed</t>
        </is>
      </c>
      <c r="I265" s="17" t="inlineStr">
        <is>
          <t>Passed</t>
        </is>
      </c>
    </row>
    <row r="266">
      <c r="A266" s="16" t="inlineStr">
        <is>
          <t>Suite re-run (web-unit)</t>
        </is>
      </c>
      <c r="B266" s="16" t="inlineStr">
        <is>
          <t>2026-10-02 21:45:01 UTC</t>
        </is>
      </c>
      <c r="C266" s="16" t="inlineStr">
        <is>
          <t>iorta QA (Vitest)</t>
        </is>
      </c>
      <c r="D266" s="16" t="inlineStr">
        <is>
          <t>notificationPath prefixes audience-neutral links with the user module</t>
        </is>
      </c>
      <c r="E266" s="16" t="inlineStr">
        <is>
          <t>–</t>
        </is>
      </c>
      <c r="F266" s="16" t="inlineStr">
        <is>
          <t>npm test -w apps/web</t>
        </is>
      </c>
      <c r="G266" s="16" t="inlineStr">
        <is>
          <t>Test passes</t>
        </is>
      </c>
      <c r="H266" s="16" t="inlineStr">
        <is>
          <t>passed</t>
        </is>
      </c>
      <c r="I266" s="17" t="inlineStr">
        <is>
          <t>Passed</t>
        </is>
      </c>
    </row>
    <row r="267">
      <c r="A267" s="16" t="inlineStr">
        <is>
          <t>Suite re-run (web-unit)</t>
        </is>
      </c>
      <c r="B267" s="16" t="inlineStr">
        <is>
          <t>2026-10-02 21:45:01 UTC</t>
        </is>
      </c>
      <c r="C267" s="16" t="inlineStr">
        <is>
          <t>iorta QA (Vitest)</t>
        </is>
      </c>
      <c r="D267" s="16" t="inlineStr">
        <is>
          <t>isHiddenKey hides optimistic-lock versions and encrypted or hashed values only</t>
        </is>
      </c>
      <c r="E267" s="16" t="inlineStr">
        <is>
          <t>–</t>
        </is>
      </c>
      <c r="F267" s="16" t="inlineStr">
        <is>
          <t>npm test -w apps/web</t>
        </is>
      </c>
      <c r="G267" s="16" t="inlineStr">
        <is>
          <t>Test passes</t>
        </is>
      </c>
      <c r="H267" s="16" t="inlineStr">
        <is>
          <t>passed</t>
        </is>
      </c>
      <c r="I267" s="17" t="inlineStr">
        <is>
          <t>Passed</t>
        </is>
      </c>
    </row>
    <row r="268">
      <c r="A268" s="16" t="inlineStr">
        <is>
          <t>Suite re-run (web-unit)</t>
        </is>
      </c>
      <c r="B268" s="16" t="inlineStr">
        <is>
          <t>2026-10-02 21:45:01 UTC</t>
        </is>
      </c>
      <c r="C268" s="16" t="inlineStr">
        <is>
          <t>iorta QA (Vitest)</t>
        </is>
      </c>
      <c r="D268" s="16" t="inlineStr">
        <is>
          <t>keyLabel uses curated labels where needed and sentence case otherwise</t>
        </is>
      </c>
      <c r="E268" s="16" t="inlineStr">
        <is>
          <t>–</t>
        </is>
      </c>
      <c r="F268" s="16" t="inlineStr">
        <is>
          <t>npm test -w apps/web</t>
        </is>
      </c>
      <c r="G268" s="16" t="inlineStr">
        <is>
          <t>Test passes</t>
        </is>
      </c>
      <c r="H268" s="16" t="inlineStr">
        <is>
          <t>passed</t>
        </is>
      </c>
      <c r="I268" s="17" t="inlineStr">
        <is>
          <t>Passed</t>
        </is>
      </c>
    </row>
    <row r="269">
      <c r="A269" s="16" t="inlineStr">
        <is>
          <t>Suite re-run (web-unit)</t>
        </is>
      </c>
      <c r="B269" s="16" t="inlineStr">
        <is>
          <t>2026-10-02 21:45:01 UTC</t>
        </is>
      </c>
      <c r="C269" s="16" t="inlineStr">
        <is>
          <t>iorta QA (Vitest)</t>
        </is>
      </c>
      <c r="D269" s="16" t="inlineStr">
        <is>
          <t>isRecord accepts plain objects only</t>
        </is>
      </c>
      <c r="E269" s="16" t="inlineStr">
        <is>
          <t>–</t>
        </is>
      </c>
      <c r="F269" s="16" t="inlineStr">
        <is>
          <t>npm test -w apps/web</t>
        </is>
      </c>
      <c r="G269" s="16" t="inlineStr">
        <is>
          <t>Test passes</t>
        </is>
      </c>
      <c r="H269" s="16" t="inlineStr">
        <is>
          <t>passed</t>
        </is>
      </c>
      <c r="I269" s="17" t="inlineStr">
        <is>
          <t>Passed</t>
        </is>
      </c>
    </row>
    <row r="270">
      <c r="A270" s="16" t="inlineStr">
        <is>
          <t>Suite re-run (web-unit)</t>
        </is>
      </c>
      <c r="B270" s="16" t="inlineStr">
        <is>
          <t>2026-10-02 21:45:01 UTC</t>
        </is>
      </c>
      <c r="C270" s="16" t="inlineStr">
        <is>
          <t>iorta QA (Vitest)</t>
        </is>
      </c>
      <c r="D270" s="16" t="inlineStr">
        <is>
          <t>formatValue shows a dash for empty values and Yes/No for booleans</t>
        </is>
      </c>
      <c r="E270" s="16" t="inlineStr">
        <is>
          <t>–</t>
        </is>
      </c>
      <c r="F270" s="16" t="inlineStr">
        <is>
          <t>npm test -w apps/web</t>
        </is>
      </c>
      <c r="G270" s="16" t="inlineStr">
        <is>
          <t>Test passes</t>
        </is>
      </c>
      <c r="H270" s="16" t="inlineStr">
        <is>
          <t>passed</t>
        </is>
      </c>
      <c r="I270" s="17" t="inlineStr">
        <is>
          <t>Passed</t>
        </is>
      </c>
    </row>
    <row r="271">
      <c r="A271" s="16" t="inlineStr">
        <is>
          <t>Suite re-run (web-unit)</t>
        </is>
      </c>
      <c r="B271" s="16" t="inlineStr">
        <is>
          <t>2026-10-02 21:45:01 UTC</t>
        </is>
      </c>
      <c r="C271" s="16" t="inlineStr">
        <is>
          <t>iorta QA (Vitest)</t>
        </is>
      </c>
      <c r="D271" s="16" t="inlineStr">
        <is>
          <t>formatValue formats numeric values of amount-like keys as money</t>
        </is>
      </c>
      <c r="E271" s="16" t="inlineStr">
        <is>
          <t>–</t>
        </is>
      </c>
      <c r="F271" s="16" t="inlineStr">
        <is>
          <t>npm test -w apps/web</t>
        </is>
      </c>
      <c r="G271" s="16" t="inlineStr">
        <is>
          <t>Test passes</t>
        </is>
      </c>
      <c r="H271" s="16" t="inlineStr">
        <is>
          <t>passed</t>
        </is>
      </c>
      <c r="I271" s="17" t="inlineStr">
        <is>
          <t>Passed</t>
        </is>
      </c>
    </row>
    <row r="272">
      <c r="A272" s="16" t="inlineStr">
        <is>
          <t>Suite re-run (web-unit)</t>
        </is>
      </c>
      <c r="B272" s="16" t="inlineStr">
        <is>
          <t>2026-10-02 21:45:01 UTC</t>
        </is>
      </c>
      <c r="C272" s="16" t="inlineStr">
        <is>
          <t>iorta QA (Vitest)</t>
        </is>
      </c>
      <c r="D272" s="16" t="inlineStr">
        <is>
          <t>formatValue formats ISO dates and timestamps</t>
        </is>
      </c>
      <c r="E272" s="16" t="inlineStr">
        <is>
          <t>–</t>
        </is>
      </c>
      <c r="F272" s="16" t="inlineStr">
        <is>
          <t>npm test -w apps/web</t>
        </is>
      </c>
      <c r="G272" s="16" t="inlineStr">
        <is>
          <t>Test passes</t>
        </is>
      </c>
      <c r="H272" s="16" t="inlineStr">
        <is>
          <t>passed</t>
        </is>
      </c>
      <c r="I272" s="17" t="inlineStr">
        <is>
          <t>Passed</t>
        </is>
      </c>
    </row>
    <row r="273">
      <c r="A273" s="16" t="inlineStr">
        <is>
          <t>Suite re-run (web-unit)</t>
        </is>
      </c>
      <c r="B273" s="16" t="inlineStr">
        <is>
          <t>2026-10-02 21:45:01 UTC</t>
        </is>
      </c>
      <c r="C273" s="16" t="inlineStr">
        <is>
          <t>iorta QA (Vitest)</t>
        </is>
      </c>
      <c r="D273" s="16" t="inlineStr">
        <is>
          <t>formatValue humanises enum codes that contain underscores or sit under an enum-like key</t>
        </is>
      </c>
      <c r="E273" s="16" t="inlineStr">
        <is>
          <t>–</t>
        </is>
      </c>
      <c r="F273" s="16" t="inlineStr">
        <is>
          <t>npm test -w apps/web</t>
        </is>
      </c>
      <c r="G273" s="16" t="inlineStr">
        <is>
          <t>Test passes</t>
        </is>
      </c>
      <c r="H273" s="16" t="inlineStr">
        <is>
          <t>passed</t>
        </is>
      </c>
      <c r="I273" s="17" t="inlineStr">
        <is>
          <t>Passed</t>
        </is>
      </c>
    </row>
    <row r="274">
      <c r="A274" s="16" t="inlineStr">
        <is>
          <t>Suite re-run (web-unit)</t>
        </is>
      </c>
      <c r="B274" s="16" t="inlineStr">
        <is>
          <t>2026-10-02 21:45:01 UTC</t>
        </is>
      </c>
      <c r="C274" s="16" t="inlineStr">
        <is>
          <t>iorta QA (Vitest)</t>
        </is>
      </c>
      <c r="D274" s="16" t="inlineStr">
        <is>
          <t>formatValue serialises nested values as JSON</t>
        </is>
      </c>
      <c r="E274" s="16" t="inlineStr">
        <is>
          <t>–</t>
        </is>
      </c>
      <c r="F274" s="16" t="inlineStr">
        <is>
          <t>npm test -w apps/web</t>
        </is>
      </c>
      <c r="G274" s="16" t="inlineStr">
        <is>
          <t>Test passes</t>
        </is>
      </c>
      <c r="H274" s="16" t="inlineStr">
        <is>
          <t>passed</t>
        </is>
      </c>
      <c r="I274" s="17" t="inlineStr">
        <is>
          <t>Passed</t>
        </is>
      </c>
    </row>
    <row r="275">
      <c r="A275" s="16" t="inlineStr">
        <is>
          <t>Suite re-run (web-unit)</t>
        </is>
      </c>
      <c r="B275" s="16" t="inlineStr">
        <is>
          <t>2026-10-02 21:45:01 UTC</t>
        </is>
      </c>
      <c r="C275" s="16" t="inlineStr">
        <is>
          <t>iorta QA (Vitest)</t>
        </is>
      </c>
      <c r="D275" s="16" t="inlineStr">
        <is>
          <t>nomineeRows starts with a single full-share nominee row when there are no nominees</t>
        </is>
      </c>
      <c r="E275" s="16" t="inlineStr">
        <is>
          <t>–</t>
        </is>
      </c>
      <c r="F275" s="16" t="inlineStr">
        <is>
          <t>npm test -w apps/web</t>
        </is>
      </c>
      <c r="G275" s="16" t="inlineStr">
        <is>
          <t>Test passes</t>
        </is>
      </c>
      <c r="H275" s="16" t="inlineStr">
        <is>
          <t>passed</t>
        </is>
      </c>
      <c r="I275" s="17" t="inlineStr">
        <is>
          <t>Passed</t>
        </is>
      </c>
    </row>
    <row r="276">
      <c r="A276" s="16" t="inlineStr">
        <is>
          <t>Suite re-run (web-unit)</t>
        </is>
      </c>
      <c r="B276" s="16" t="inlineStr">
        <is>
          <t>2026-10-02 21:45:01 UTC</t>
        </is>
      </c>
      <c r="C276" s="16" t="inlineStr">
        <is>
          <t>iorta QA (Vitest)</t>
        </is>
      </c>
      <c r="D276" s="16" t="inlineStr">
        <is>
          <t>nomineeRows carries the id and masked ID number of existing nominees</t>
        </is>
      </c>
      <c r="E276" s="16" t="inlineStr">
        <is>
          <t>–</t>
        </is>
      </c>
      <c r="F276" s="16" t="inlineStr">
        <is>
          <t>npm test -w apps/web</t>
        </is>
      </c>
      <c r="G276" s="16" t="inlineStr">
        <is>
          <t>Test passes</t>
        </is>
      </c>
      <c r="H276" s="16" t="inlineStr">
        <is>
          <t>passed</t>
        </is>
      </c>
      <c r="I276" s="17" t="inlineStr">
        <is>
          <t>Passed</t>
        </is>
      </c>
    </row>
    <row r="277">
      <c r="A277" s="16" t="inlineStr">
        <is>
          <t>Suite re-run (web-unit)</t>
        </is>
      </c>
      <c r="B277" s="16" t="inlineStr">
        <is>
          <t>2026-10-02 21:45:01 UTC</t>
        </is>
      </c>
      <c r="C277" s="16" t="inlineStr">
        <is>
          <t>iorta QA (Vitest)</t>
        </is>
      </c>
      <c r="D277" s="16" t="inlineStr">
        <is>
          <t>nomineeRows converts decimal-string shares to numbers</t>
        </is>
      </c>
      <c r="E277" s="16" t="inlineStr">
        <is>
          <t>–</t>
        </is>
      </c>
      <c r="F277" s="16" t="inlineStr">
        <is>
          <t>npm test -w apps/web</t>
        </is>
      </c>
      <c r="G277" s="16" t="inlineStr">
        <is>
          <t>Test passes</t>
        </is>
      </c>
      <c r="H277" s="16" t="inlineStr">
        <is>
          <t>passed</t>
        </is>
      </c>
      <c r="I277" s="17" t="inlineStr">
        <is>
          <t>Passed</t>
        </is>
      </c>
    </row>
    <row r="278">
      <c r="A278" s="16" t="inlineStr">
        <is>
          <t>Suite re-run (web-unit)</t>
        </is>
      </c>
      <c r="B278" s="16" t="inlineStr">
        <is>
          <t>2026-10-02 21:45:01 UTC</t>
        </is>
      </c>
      <c r="C278" s="16" t="inlineStr">
        <is>
          <t>iorta QA (Vitest)</t>
        </is>
      </c>
      <c r="D278" s="16" t="inlineStr">
        <is>
          <t>toNomineeInputs returns no inputs when the form has no rows</t>
        </is>
      </c>
      <c r="E278" s="16" t="inlineStr">
        <is>
          <t>–</t>
        </is>
      </c>
      <c r="F278" s="16" t="inlineStr">
        <is>
          <t>npm test -w apps/web</t>
        </is>
      </c>
      <c r="G278" s="16" t="inlineStr">
        <is>
          <t>Test passes</t>
        </is>
      </c>
      <c r="H278" s="16" t="inlineStr">
        <is>
          <t>passed</t>
        </is>
      </c>
      <c r="I278" s="17" t="inlineStr">
        <is>
          <t>Passed</t>
        </is>
      </c>
    </row>
    <row r="279">
      <c r="A279" s="16" t="inlineStr">
        <is>
          <t>Suite re-run (web-unit)</t>
        </is>
      </c>
      <c r="B279" s="16" t="inlineStr">
        <is>
          <t>2026-10-02 21:45:01 UTC</t>
        </is>
      </c>
      <c r="C279" s="16" t="inlineStr">
        <is>
          <t>iorta QA (Vitest)</t>
        </is>
      </c>
      <c r="D279" s="16" t="inlineStr">
        <is>
          <t>toNomineeInputs keeps the id of an existing nominee and trims the text fields</t>
        </is>
      </c>
      <c r="E279" s="16" t="inlineStr">
        <is>
          <t>–</t>
        </is>
      </c>
      <c r="F279" s="16" t="inlineStr">
        <is>
          <t>npm test -w apps/web</t>
        </is>
      </c>
      <c r="G279" s="16" t="inlineStr">
        <is>
          <t>Test passes</t>
        </is>
      </c>
      <c r="H279" s="16" t="inlineStr">
        <is>
          <t>passed</t>
        </is>
      </c>
      <c r="I279" s="17" t="inlineStr">
        <is>
          <t>Passed</t>
        </is>
      </c>
    </row>
    <row r="280">
      <c r="A280" s="16" t="inlineStr">
        <is>
          <t>Suite re-run (web-unit)</t>
        </is>
      </c>
      <c r="B280" s="16" t="inlineStr">
        <is>
          <t>2026-10-02 21:45:01 UTC</t>
        </is>
      </c>
      <c r="C280" s="16" t="inlineStr">
        <is>
          <t>iorta QA (Vitest)</t>
        </is>
      </c>
      <c r="D280" s="16" t="inlineStr">
        <is>
          <t>toNomineeInputs drops a blank ID number so the stored one is kept</t>
        </is>
      </c>
      <c r="E280" s="16" t="inlineStr">
        <is>
          <t>–</t>
        </is>
      </c>
      <c r="F280" s="16" t="inlineStr">
        <is>
          <t>npm test -w apps/web</t>
        </is>
      </c>
      <c r="G280" s="16" t="inlineStr">
        <is>
          <t>Test passes</t>
        </is>
      </c>
      <c r="H280" s="16" t="inlineStr">
        <is>
          <t>passed</t>
        </is>
      </c>
      <c r="I280" s="17" t="inlineStr">
        <is>
          <t>Passed</t>
        </is>
      </c>
    </row>
    <row r="281">
      <c r="A281" s="16" t="inlineStr">
        <is>
          <t>Suite re-run (web-unit)</t>
        </is>
      </c>
      <c r="B281" s="16" t="inlineStr">
        <is>
          <t>2026-10-02 21:45:01 UTC</t>
        </is>
      </c>
      <c r="C281" s="16" t="inlineStr">
        <is>
          <t>iorta QA (Vitest)</t>
        </is>
      </c>
      <c r="D281" s="16" t="inlineStr">
        <is>
          <t>toNomineeInputs sends new rows without an id and fills defaults for missing fields</t>
        </is>
      </c>
      <c r="E281" s="16" t="inlineStr">
        <is>
          <t>–</t>
        </is>
      </c>
      <c r="F281" s="16" t="inlineStr">
        <is>
          <t>npm test -w apps/web</t>
        </is>
      </c>
      <c r="G281" s="16" t="inlineStr">
        <is>
          <t>Test passes</t>
        </is>
      </c>
      <c r="H281" s="16" t="inlineStr">
        <is>
          <t>passed</t>
        </is>
      </c>
      <c r="I281" s="17" t="inlineStr">
        <is>
          <t>Passed</t>
        </is>
      </c>
    </row>
    <row r="282">
      <c r="A282" s="16" t="inlineStr">
        <is>
          <t>Suite re-run (web-unit)</t>
        </is>
      </c>
      <c r="B282" s="16" t="inlineStr">
        <is>
          <t>2026-10-02 21:45:01 UTC</t>
        </is>
      </c>
      <c r="C282" s="16" t="inlineStr">
        <is>
          <t>iorta QA (Vitest)</t>
        </is>
      </c>
      <c r="D282" s="16" t="inlineStr">
        <is>
          <t>toNomineeInputs round-trips existing nominees without changing them</t>
        </is>
      </c>
      <c r="E282" s="16" t="inlineStr">
        <is>
          <t>–</t>
        </is>
      </c>
      <c r="F282" s="16" t="inlineStr">
        <is>
          <t>npm test -w apps/web</t>
        </is>
      </c>
      <c r="G282" s="16" t="inlineStr">
        <is>
          <t>Test passes</t>
        </is>
      </c>
      <c r="H282" s="16" t="inlineStr">
        <is>
          <t>passed</t>
        </is>
      </c>
      <c r="I282" s="17" t="inlineStr">
        <is>
          <t>Passed</t>
        </is>
      </c>
    </row>
    <row r="283">
      <c r="A283" s="16" t="inlineStr">
        <is>
          <t>Suite re-run (web-unit)</t>
        </is>
      </c>
      <c r="B283" s="16" t="inlineStr">
        <is>
          <t>2026-10-02 21:45:01 UTC</t>
        </is>
      </c>
      <c r="C283" s="16" t="inlineStr">
        <is>
          <t>iorta QA (Vitest)</t>
        </is>
      </c>
      <c r="D283" s="16" t="inlineStr">
        <is>
          <t>paymentFiltersFromUrl reads a known payment status</t>
        </is>
      </c>
      <c r="E283" s="16" t="inlineStr">
        <is>
          <t>–</t>
        </is>
      </c>
      <c r="F283" s="16" t="inlineStr">
        <is>
          <t>npm test -w apps/web</t>
        </is>
      </c>
      <c r="G283" s="16" t="inlineStr">
        <is>
          <t>Test passes</t>
        </is>
      </c>
      <c r="H283" s="16" t="inlineStr">
        <is>
          <t>passed</t>
        </is>
      </c>
      <c r="I283" s="17" t="inlineStr">
        <is>
          <t>Passed</t>
        </is>
      </c>
    </row>
    <row r="284">
      <c r="A284" s="16" t="inlineStr">
        <is>
          <t>Suite re-run (web-unit)</t>
        </is>
      </c>
      <c r="B284" s="16" t="inlineStr">
        <is>
          <t>2026-10-02 21:45:01 UTC</t>
        </is>
      </c>
      <c r="C284" s="16" t="inlineStr">
        <is>
          <t>iorta QA (Vitest)</t>
        </is>
      </c>
      <c r="D284" s="16" t="inlineStr">
        <is>
          <t>paymentFiltersFromUrl ignores missing or unknown statuses</t>
        </is>
      </c>
      <c r="E284" s="16" t="inlineStr">
        <is>
          <t>–</t>
        </is>
      </c>
      <c r="F284" s="16" t="inlineStr">
        <is>
          <t>npm test -w apps/web</t>
        </is>
      </c>
      <c r="G284" s="16" t="inlineStr">
        <is>
          <t>Test passes</t>
        </is>
      </c>
      <c r="H284" s="16" t="inlineStr">
        <is>
          <t>passed</t>
        </is>
      </c>
      <c r="I284" s="17" t="inlineStr">
        <is>
          <t>Passed</t>
        </is>
      </c>
    </row>
    <row r="285">
      <c r="A285" s="16" t="inlineStr">
        <is>
          <t>Suite re-run (web-unit)</t>
        </is>
      </c>
      <c r="B285" s="16" t="inlineStr">
        <is>
          <t>2026-10-02 21:45:01 UTC</t>
        </is>
      </c>
      <c r="C285" s="16" t="inlineStr">
        <is>
          <t>iorta QA (Vitest)</t>
        </is>
      </c>
      <c r="D285" s="16" t="inlineStr">
        <is>
          <t>PaymentList starts filtered by the status in the URL</t>
        </is>
      </c>
      <c r="E285" s="16" t="inlineStr">
        <is>
          <t>–</t>
        </is>
      </c>
      <c r="F285" s="16" t="inlineStr">
        <is>
          <t>npm test -w apps/web</t>
        </is>
      </c>
      <c r="G285" s="16" t="inlineStr">
        <is>
          <t>Test passes</t>
        </is>
      </c>
      <c r="H285" s="16" t="inlineStr">
        <is>
          <t>passed</t>
        </is>
      </c>
      <c r="I285" s="17" t="inlineStr">
        <is>
          <t>Passed</t>
        </is>
      </c>
    </row>
    <row r="286">
      <c r="A286" s="16" t="inlineStr">
        <is>
          <t>Suite re-run (web-unit)</t>
        </is>
      </c>
      <c r="B286" s="16" t="inlineStr">
        <is>
          <t>2026-10-02 21:45:01 UTC</t>
        </is>
      </c>
      <c r="C286" s="16" t="inlineStr">
        <is>
          <t>iorta QA (Vitest)</t>
        </is>
      </c>
      <c r="D286" s="16" t="inlineStr">
        <is>
          <t>status and role options label each code in sentence case</t>
        </is>
      </c>
      <c r="E286" s="16" t="inlineStr">
        <is>
          <t>–</t>
        </is>
      </c>
      <c r="F286" s="16" t="inlineStr">
        <is>
          <t>npm test -w apps/web</t>
        </is>
      </c>
      <c r="G286" s="16" t="inlineStr">
        <is>
          <t>Test passes</t>
        </is>
      </c>
      <c r="H286" s="16" t="inlineStr">
        <is>
          <t>passed</t>
        </is>
      </c>
      <c r="I286" s="17" t="inlineStr">
        <is>
          <t>Passed</t>
        </is>
      </c>
    </row>
    <row r="287">
      <c r="A287" s="16" t="inlineStr">
        <is>
          <t>Suite re-run (web-unit)</t>
        </is>
      </c>
      <c r="B287" s="16" t="inlineStr">
        <is>
          <t>2026-10-02 21:45:01 UTC</t>
        </is>
      </c>
      <c r="C287" s="16" t="inlineStr">
        <is>
          <t>iorta QA (Vitest)</t>
        </is>
      </c>
      <c r="D287" s="16" t="inlineStr">
        <is>
          <t>policyReference uses the policy number once the policy is issued</t>
        </is>
      </c>
      <c r="E287" s="16" t="inlineStr">
        <is>
          <t>–</t>
        </is>
      </c>
      <c r="F287" s="16" t="inlineStr">
        <is>
          <t>npm test -w apps/web</t>
        </is>
      </c>
      <c r="G287" s="16" t="inlineStr">
        <is>
          <t>Test passes</t>
        </is>
      </c>
      <c r="H287" s="16" t="inlineStr">
        <is>
          <t>passed</t>
        </is>
      </c>
      <c r="I287" s="17" t="inlineStr">
        <is>
          <t>Passed</t>
        </is>
      </c>
    </row>
    <row r="288">
      <c r="A288" s="16" t="inlineStr">
        <is>
          <t>Suite re-run (web-unit)</t>
        </is>
      </c>
      <c r="B288" s="16" t="inlineStr">
        <is>
          <t>2026-10-02 21:45:01 UTC</t>
        </is>
      </c>
      <c r="C288" s="16" t="inlineStr">
        <is>
          <t>iorta QA (Vitest)</t>
        </is>
      </c>
      <c r="D288" s="16" t="inlineStr">
        <is>
          <t>policyReference falls back to the quotation number before issuance</t>
        </is>
      </c>
      <c r="E288" s="16" t="inlineStr">
        <is>
          <t>–</t>
        </is>
      </c>
      <c r="F288" s="16" t="inlineStr">
        <is>
          <t>npm test -w apps/web</t>
        </is>
      </c>
      <c r="G288" s="16" t="inlineStr">
        <is>
          <t>Test passes</t>
        </is>
      </c>
      <c r="H288" s="16" t="inlineStr">
        <is>
          <t>passed</t>
        </is>
      </c>
      <c r="I288" s="17" t="inlineStr">
        <is>
          <t>Passed</t>
        </is>
      </c>
    </row>
    <row r="289">
      <c r="A289" s="16" t="inlineStr">
        <is>
          <t>Suite re-run (web-unit)</t>
        </is>
      </c>
      <c r="B289" s="16" t="inlineStr">
        <is>
          <t>2026-10-02 21:45:01 UTC</t>
        </is>
      </c>
      <c r="C289" s="16" t="inlineStr">
        <is>
          <t>iorta QA (Vitest)</t>
        </is>
      </c>
      <c r="D289" s="16" t="inlineStr">
        <is>
          <t>formatTerm shows whole years in years and anything else in months</t>
        </is>
      </c>
      <c r="E289" s="16" t="inlineStr">
        <is>
          <t>–</t>
        </is>
      </c>
      <c r="F289" s="16" t="inlineStr">
        <is>
          <t>npm test -w apps/web</t>
        </is>
      </c>
      <c r="G289" s="16" t="inlineStr">
        <is>
          <t>Test passes</t>
        </is>
      </c>
      <c r="H289" s="16" t="inlineStr">
        <is>
          <t>passed</t>
        </is>
      </c>
      <c r="I289" s="17" t="inlineStr">
        <is>
          <t>Passed</t>
        </is>
      </c>
    </row>
    <row r="290">
      <c r="A290" s="16" t="inlineStr">
        <is>
          <t>Suite re-run (web-unit)</t>
        </is>
      </c>
      <c r="B290" s="16" t="inlineStr">
        <is>
          <t>2026-10-02 21:45:01 UTC</t>
        </is>
      </c>
      <c r="C290" s="16" t="inlineStr">
        <is>
          <t>iorta QA (Vitest)</t>
        </is>
      </c>
      <c r="D290" s="16" t="inlineStr">
        <is>
          <t>LoginPage renders the username and password fields</t>
        </is>
      </c>
      <c r="E290" s="16" t="inlineStr">
        <is>
          <t>–</t>
        </is>
      </c>
      <c r="F290" s="16" t="inlineStr">
        <is>
          <t>npm test -w apps/web</t>
        </is>
      </c>
      <c r="G290" s="16" t="inlineStr">
        <is>
          <t>Test passes</t>
        </is>
      </c>
      <c r="H290" s="16" t="inlineStr">
        <is>
          <t>passed</t>
        </is>
      </c>
      <c r="I290" s="17" t="inlineStr">
        <is>
          <t>Passed</t>
        </is>
      </c>
    </row>
    <row r="291">
      <c r="A291" s="16" t="inlineStr">
        <is>
          <t>Suite re-run (web-unit)</t>
        </is>
      </c>
      <c r="B291" s="16" t="inlineStr">
        <is>
          <t>2026-10-02 21:45:01 UTC</t>
        </is>
      </c>
      <c r="C291" s="16" t="inlineStr">
        <is>
          <t>iorta QA (Vitest)</t>
        </is>
      </c>
      <c r="D291" s="16" t="inlineStr">
        <is>
          <t>LoginPage asks for both fields when submitted empty</t>
        </is>
      </c>
      <c r="E291" s="16" t="inlineStr">
        <is>
          <t>–</t>
        </is>
      </c>
      <c r="F291" s="16" t="inlineStr">
        <is>
          <t>npm test -w apps/web</t>
        </is>
      </c>
      <c r="G291" s="16" t="inlineStr">
        <is>
          <t>Test passes</t>
        </is>
      </c>
      <c r="H291" s="16" t="inlineStr">
        <is>
          <t>passed</t>
        </is>
      </c>
      <c r="I291" s="17" t="inlineStr">
        <is>
          <t>Passed</t>
        </is>
      </c>
    </row>
    <row r="292">
      <c r="A292" s="16" t="inlineStr">
        <is>
          <t>Suite re-run (web-unit)</t>
        </is>
      </c>
      <c r="B292" s="16" t="inlineStr">
        <is>
          <t>2026-10-02 21:45:01 UTC</t>
        </is>
      </c>
      <c r="C292" s="16" t="inlineStr">
        <is>
          <t>iorta QA (Vitest)</t>
        </is>
      </c>
      <c r="D292" s="16" t="inlineStr">
        <is>
          <t>LoginPage signs in with the typed credentials and opens the home page</t>
        </is>
      </c>
      <c r="E292" s="16" t="inlineStr">
        <is>
          <t>–</t>
        </is>
      </c>
      <c r="F292" s="16" t="inlineStr">
        <is>
          <t>npm test -w apps/web</t>
        </is>
      </c>
      <c r="G292" s="16" t="inlineStr">
        <is>
          <t>Test passes</t>
        </is>
      </c>
      <c r="H292" s="16" t="inlineStr">
        <is>
          <t>passed</t>
        </is>
      </c>
      <c r="I292" s="17" t="inlineStr">
        <is>
          <t>Passed</t>
        </is>
      </c>
    </row>
    <row r="293">
      <c r="A293" s="16" t="inlineStr">
        <is>
          <t>Suite re-run (web-unit)</t>
        </is>
      </c>
      <c r="B293" s="16" t="inlineStr">
        <is>
          <t>2026-10-02 21:45:01 UTC</t>
        </is>
      </c>
      <c r="C293" s="16" t="inlineStr">
        <is>
          <t>iorta QA (Vitest)</t>
        </is>
      </c>
      <c r="D293" s="16" t="inlineStr">
        <is>
          <t>LoginPage sends users who must change their password to the change-password page</t>
        </is>
      </c>
      <c r="E293" s="16" t="inlineStr">
        <is>
          <t>–</t>
        </is>
      </c>
      <c r="F293" s="16" t="inlineStr">
        <is>
          <t>npm test -w apps/web</t>
        </is>
      </c>
      <c r="G293" s="16" t="inlineStr">
        <is>
          <t>Test passes</t>
        </is>
      </c>
      <c r="H293" s="16" t="inlineStr">
        <is>
          <t>passed</t>
        </is>
      </c>
      <c r="I293" s="17" t="inlineStr">
        <is>
          <t>Passed</t>
        </is>
      </c>
    </row>
    <row r="294">
      <c r="A294" s="16" t="inlineStr">
        <is>
          <t>Suite re-run (web-unit)</t>
        </is>
      </c>
      <c r="B294" s="16" t="inlineStr">
        <is>
          <t>2026-10-02 21:45:01 UTC</t>
        </is>
      </c>
      <c r="C294" s="16" t="inlineStr">
        <is>
          <t>iorta QA (Vitest)</t>
        </is>
      </c>
      <c r="D294" s="16" t="inlineStr">
        <is>
          <t>LoginPage shows the error returned for rejected credentials</t>
        </is>
      </c>
      <c r="E294" s="16" t="inlineStr">
        <is>
          <t>–</t>
        </is>
      </c>
      <c r="F294" s="16" t="inlineStr">
        <is>
          <t>npm test -w apps/web</t>
        </is>
      </c>
      <c r="G294" s="16" t="inlineStr">
        <is>
          <t>Test passes</t>
        </is>
      </c>
      <c r="H294" s="16" t="inlineStr">
        <is>
          <t>passed</t>
        </is>
      </c>
      <c r="I294" s="17" t="inlineStr">
        <is>
          <t>Passed</t>
        </is>
      </c>
    </row>
    <row r="295">
      <c r="A295" s="16" t="inlineStr">
        <is>
          <t>Suite re-run (web-unit)</t>
        </is>
      </c>
      <c r="B295" s="16" t="inlineStr">
        <is>
          <t>2026-10-02 21:45:01 UTC</t>
        </is>
      </c>
      <c r="C295" s="16" t="inlineStr">
        <is>
          <t>iorta QA (Vitest)</t>
        </is>
      </c>
      <c r="D295" s="16" t="inlineStr">
        <is>
          <t>LoginPage shows the product, release and vendor credit without marketing copy</t>
        </is>
      </c>
      <c r="E295" s="16" t="inlineStr">
        <is>
          <t>–</t>
        </is>
      </c>
      <c r="F295" s="16" t="inlineStr">
        <is>
          <t>npm test -w apps/web</t>
        </is>
      </c>
      <c r="G295" s="16" t="inlineStr">
        <is>
          <t>Test passes</t>
        </is>
      </c>
      <c r="H295" s="16" t="inlineStr">
        <is>
          <t>passed</t>
        </is>
      </c>
      <c r="I295" s="17" t="inlineStr">
        <is>
          <t>Passed</t>
        </is>
      </c>
    </row>
    <row r="296">
      <c r="A296" s="16" t="inlineStr">
        <is>
          <t>Suite re-run (web-unit)</t>
        </is>
      </c>
      <c r="B296" s="16" t="inlineStr">
        <is>
          <t>2026-10-02 21:45:01 UTC</t>
        </is>
      </c>
      <c r="C296" s="16" t="inlineStr">
        <is>
          <t>iorta QA (Vitest)</t>
        </is>
      </c>
      <c r="D296" s="16" t="inlineStr">
        <is>
          <t>LoginPage explains that the previous session ended</t>
        </is>
      </c>
      <c r="E296" s="16" t="inlineStr">
        <is>
          <t>–</t>
        </is>
      </c>
      <c r="F296" s="16" t="inlineStr">
        <is>
          <t>npm test -w apps/web</t>
        </is>
      </c>
      <c r="G296" s="16" t="inlineStr">
        <is>
          <t>Test passes</t>
        </is>
      </c>
      <c r="H296" s="16" t="inlineStr">
        <is>
          <t>passed</t>
        </is>
      </c>
      <c r="I296" s="17" t="inlineStr">
        <is>
          <t>Passed</t>
        </is>
      </c>
    </row>
    <row r="297">
      <c r="A297" s="16" t="inlineStr">
        <is>
          <t>Security checks</t>
        </is>
      </c>
      <c r="B297" s="16" t="inlineStr">
        <is>
          <t>2026-10-02 14:57:33 UTC</t>
        </is>
      </c>
      <c r="C297" s="16" t="inlineStr">
        <is>
          <t>iorta QA (security-checks.mjs)</t>
        </is>
      </c>
      <c r="D297" s="16" t="inlineStr">
        <is>
          <t>SEC-01 – Security headers on API responses</t>
        </is>
      </c>
      <c r="E297" s="16" t="inlineStr">
        <is>
          <t>script users</t>
        </is>
      </c>
      <c r="F297" s="16" t="inlineStr">
        <is>
          <t>node tools/security/security-checks.mjs (http://localhost:3001)</t>
        </is>
      </c>
      <c r="G297" s="16" t="inlineStr">
        <is>
          <t>PASS</t>
        </is>
      </c>
      <c r="H297" s="16" t="inlineStr">
        <is>
          <t>PASS</t>
        </is>
      </c>
      <c r="I297" s="17" t="inlineStr">
        <is>
          <t>Passed</t>
        </is>
      </c>
    </row>
    <row r="298">
      <c r="A298" s="16" t="inlineStr">
        <is>
          <t>Security checks</t>
        </is>
      </c>
      <c r="B298" s="16" t="inlineStr">
        <is>
          <t>2026-10-02 14:57:33 UTC</t>
        </is>
      </c>
      <c r="C298" s="16" t="inlineStr">
        <is>
          <t>iorta QA (security-checks.mjs)</t>
        </is>
      </c>
      <c r="D298" s="16" t="inlineStr">
        <is>
          <t>SEC-02 – Unknown routes return a generic JSON error without framework details</t>
        </is>
      </c>
      <c r="E298" s="16" t="inlineStr">
        <is>
          <t>script users</t>
        </is>
      </c>
      <c r="F298" s="16" t="inlineStr">
        <is>
          <t>node tools/security/security-checks.mjs (http://localhost:3001)</t>
        </is>
      </c>
      <c r="G298" s="16" t="inlineStr">
        <is>
          <t>PASS</t>
        </is>
      </c>
      <c r="H298" s="16" t="inlineStr">
        <is>
          <t>PASS</t>
        </is>
      </c>
      <c r="I298" s="17" t="inlineStr">
        <is>
          <t>Passed</t>
        </is>
      </c>
    </row>
    <row r="299">
      <c r="A299" s="16" t="inlineStr">
        <is>
          <t>Security checks</t>
        </is>
      </c>
      <c r="B299" s="16" t="inlineStr">
        <is>
          <t>2026-10-02 14:57:33 UTC</t>
        </is>
      </c>
      <c r="C299" s="16" t="inlineStr">
        <is>
          <t>iorta QA (security-checks.mjs)</t>
        </is>
      </c>
      <c r="D299" s="16" t="inlineStr">
        <is>
          <t>SEC-03 – Malformed JSON is rejected without a stack trace</t>
        </is>
      </c>
      <c r="E299" s="16" t="inlineStr">
        <is>
          <t>script users</t>
        </is>
      </c>
      <c r="F299" s="16" t="inlineStr">
        <is>
          <t>node tools/security/security-checks.mjs (http://localhost:3001)</t>
        </is>
      </c>
      <c r="G299" s="16" t="inlineStr">
        <is>
          <t>PASS</t>
        </is>
      </c>
      <c r="H299" s="16" t="inlineStr">
        <is>
          <t>PASS</t>
        </is>
      </c>
      <c r="I299" s="17" t="inlineStr">
        <is>
          <t>Passed</t>
        </is>
      </c>
    </row>
    <row r="300">
      <c r="A300" s="16" t="inlineStr">
        <is>
          <t>Security checks</t>
        </is>
      </c>
      <c r="B300" s="16" t="inlineStr">
        <is>
          <t>2026-10-02 14:57:33 UTC</t>
        </is>
      </c>
      <c r="C300" s="16" t="inlineStr">
        <is>
          <t>iorta QA (security-checks.mjs)</t>
        </is>
      </c>
      <c r="D300" s="16" t="inlineStr">
        <is>
          <t>SEC-04 – Same response for unknown user and wrong password (no user enumeration)</t>
        </is>
      </c>
      <c r="E300" s="16" t="inlineStr">
        <is>
          <t>script users</t>
        </is>
      </c>
      <c r="F300" s="16" t="inlineStr">
        <is>
          <t>node tools/security/security-checks.mjs (http://localhost:3001)</t>
        </is>
      </c>
      <c r="G300" s="16" t="inlineStr">
        <is>
          <t>PASS</t>
        </is>
      </c>
      <c r="H300" s="16" t="inlineStr">
        <is>
          <t>PASS</t>
        </is>
      </c>
      <c r="I300" s="17" t="inlineStr">
        <is>
          <t>Passed</t>
        </is>
      </c>
    </row>
    <row r="301">
      <c r="A301" s="16" t="inlineStr">
        <is>
          <t>Security checks</t>
        </is>
      </c>
      <c r="B301" s="16" t="inlineStr">
        <is>
          <t>2026-10-02 14:57:33 UTC</t>
        </is>
      </c>
      <c r="C301" s="16" t="inlineStr">
        <is>
          <t>iorta QA (security-checks.mjs)</t>
        </is>
      </c>
      <c r="D301" s="16" t="inlineStr">
        <is>
          <t>SEC-18 – Injection in sign-in fields is rejected as invalid credentials</t>
        </is>
      </c>
      <c r="E301" s="16" t="inlineStr">
        <is>
          <t>script users</t>
        </is>
      </c>
      <c r="F301" s="16" t="inlineStr">
        <is>
          <t>node tools/security/security-checks.mjs (http://localhost:3001)</t>
        </is>
      </c>
      <c r="G301" s="16" t="inlineStr">
        <is>
          <t>PASS</t>
        </is>
      </c>
      <c r="H301" s="16" t="inlineStr">
        <is>
          <t>PASS</t>
        </is>
      </c>
      <c r="I301" s="17" t="inlineStr">
        <is>
          <t>Passed</t>
        </is>
      </c>
    </row>
    <row r="302">
      <c r="A302" s="16" t="inlineStr">
        <is>
          <t>Security checks</t>
        </is>
      </c>
      <c r="B302" s="16" t="inlineStr">
        <is>
          <t>2026-10-02 14:57:33 UTC</t>
        </is>
      </c>
      <c r="C302" s="16" t="inlineStr">
        <is>
          <t>iorta QA (security-checks.mjs)</t>
        </is>
      </c>
      <c r="D302" s="16" t="inlineStr">
        <is>
          <t>SEC-19 – LDAP filter characters in usernames do not alter directory queries</t>
        </is>
      </c>
      <c r="E302" s="16" t="inlineStr">
        <is>
          <t>script users</t>
        </is>
      </c>
      <c r="F302" s="16" t="inlineStr">
        <is>
          <t>node tools/security/security-checks.mjs (http://localhost:3001)</t>
        </is>
      </c>
      <c r="G302" s="16" t="inlineStr">
        <is>
          <t>PASS</t>
        </is>
      </c>
      <c r="H302" s="16" t="inlineStr">
        <is>
          <t>PASS</t>
        </is>
      </c>
      <c r="I302" s="17" t="inlineStr">
        <is>
          <t>Passed</t>
        </is>
      </c>
    </row>
    <row r="303">
      <c r="A303" s="16" t="inlineStr">
        <is>
          <t>Security checks</t>
        </is>
      </c>
      <c r="B303" s="16" t="inlineStr">
        <is>
          <t>2026-10-02 14:57:33 UTC</t>
        </is>
      </c>
      <c r="C303" s="16" t="inlineStr">
        <is>
          <t>iorta QA (security-checks.mjs)</t>
        </is>
      </c>
      <c r="D303" s="16" t="inlineStr">
        <is>
          <t>SEC-05 – Session cookie is HttpOnly and SameSite=Strict (Secure is enforced in production configuration)</t>
        </is>
      </c>
      <c r="E303" s="16" t="inlineStr">
        <is>
          <t>script users</t>
        </is>
      </c>
      <c r="F303" s="16" t="inlineStr">
        <is>
          <t>node tools/security/security-checks.mjs (http://localhost:3001)</t>
        </is>
      </c>
      <c r="G303" s="16" t="inlineStr">
        <is>
          <t>PASS</t>
        </is>
      </c>
      <c r="H303" s="16" t="inlineStr">
        <is>
          <t>PASS</t>
        </is>
      </c>
      <c r="I303" s="17" t="inlineStr">
        <is>
          <t>Passed</t>
        </is>
      </c>
    </row>
    <row r="304">
      <c r="A304" s="16" t="inlineStr">
        <is>
          <t>Security checks</t>
        </is>
      </c>
      <c r="B304" s="16" t="inlineStr">
        <is>
          <t>2026-10-02 14:57:33 UTC</t>
        </is>
      </c>
      <c r="C304" s="16" t="inlineStr">
        <is>
          <t>iorta QA (security-checks.mjs)</t>
        </is>
      </c>
      <c r="D304" s="16" t="inlineStr">
        <is>
          <t>SEC-06 – Session identifier changes at every sign-in (no session fixation)</t>
        </is>
      </c>
      <c r="E304" s="16" t="inlineStr">
        <is>
          <t>script users</t>
        </is>
      </c>
      <c r="F304" s="16" t="inlineStr">
        <is>
          <t>node tools/security/security-checks.mjs (http://localhost:3001)</t>
        </is>
      </c>
      <c r="G304" s="16" t="inlineStr">
        <is>
          <t>PASS</t>
        </is>
      </c>
      <c r="H304" s="16" t="inlineStr">
        <is>
          <t>PASS</t>
        </is>
      </c>
      <c r="I304" s="17" t="inlineStr">
        <is>
          <t>Passed</t>
        </is>
      </c>
    </row>
    <row r="305">
      <c r="A305" s="16" t="inlineStr">
        <is>
          <t>Security checks</t>
        </is>
      </c>
      <c r="B305" s="16" t="inlineStr">
        <is>
          <t>2026-10-02 14:57:33 UTC</t>
        </is>
      </c>
      <c r="C305" s="16" t="inlineStr">
        <is>
          <t>iorta QA (security-checks.mjs)</t>
        </is>
      </c>
      <c r="D305" s="16" t="inlineStr">
        <is>
          <t>SEC-07 – A session cookie cannot be reused after logout (server-side revocation)</t>
        </is>
      </c>
      <c r="E305" s="16" t="inlineStr">
        <is>
          <t>script users</t>
        </is>
      </c>
      <c r="F305" s="16" t="inlineStr">
        <is>
          <t>node tools/security/security-checks.mjs (http://localhost:3001)</t>
        </is>
      </c>
      <c r="G305" s="16" t="inlineStr">
        <is>
          <t>PASS</t>
        </is>
      </c>
      <c r="H305" s="16" t="inlineStr">
        <is>
          <t>PASS</t>
        </is>
      </c>
      <c r="I305" s="17" t="inlineStr">
        <is>
          <t>Passed</t>
        </is>
      </c>
    </row>
    <row r="306">
      <c r="A306" s="16" t="inlineStr">
        <is>
          <t>Security checks</t>
        </is>
      </c>
      <c r="B306" s="16" t="inlineStr">
        <is>
          <t>2026-10-02 14:57:33 UTC</t>
        </is>
      </c>
      <c r="C306" s="16" t="inlineStr">
        <is>
          <t>iorta QA (security-checks.mjs)</t>
        </is>
      </c>
      <c r="D306" s="16" t="inlineStr">
        <is>
          <t>SEC-09 – Protected endpoints require a session</t>
        </is>
      </c>
      <c r="E306" s="16" t="inlineStr">
        <is>
          <t>script users</t>
        </is>
      </c>
      <c r="F306" s="16" t="inlineStr">
        <is>
          <t>node tools/security/security-checks.mjs (http://localhost:3001)</t>
        </is>
      </c>
      <c r="G306" s="16" t="inlineStr">
        <is>
          <t>PASS</t>
        </is>
      </c>
      <c r="H306" s="16" t="inlineStr">
        <is>
          <t>PASS</t>
        </is>
      </c>
      <c r="I306" s="17" t="inlineStr">
        <is>
          <t>Passed</t>
        </is>
      </c>
    </row>
    <row r="307">
      <c r="A307" s="16" t="inlineStr">
        <is>
          <t>Security checks</t>
        </is>
      </c>
      <c r="B307" s="16" t="inlineStr">
        <is>
          <t>2026-10-02 14:57:33 UTC</t>
        </is>
      </c>
      <c r="C307" s="16" t="inlineStr">
        <is>
          <t>iorta QA (security-checks.mjs)</t>
        </is>
      </c>
      <c r="D307" s="16" t="inlineStr">
        <is>
          <t>SEC-10 – Portal users cannot call back-office APIs</t>
        </is>
      </c>
      <c r="E307" s="16" t="inlineStr">
        <is>
          <t>script users</t>
        </is>
      </c>
      <c r="F307" s="16" t="inlineStr">
        <is>
          <t>node tools/security/security-checks.mjs (http://localhost:3001)</t>
        </is>
      </c>
      <c r="G307" s="16" t="inlineStr">
        <is>
          <t>PASS</t>
        </is>
      </c>
      <c r="H307" s="16" t="inlineStr">
        <is>
          <t>PASS</t>
        </is>
      </c>
      <c r="I307" s="17" t="inlineStr">
        <is>
          <t>Passed</t>
        </is>
      </c>
    </row>
    <row r="308">
      <c r="A308" s="16" t="inlineStr">
        <is>
          <t>Security checks</t>
        </is>
      </c>
      <c r="B308" s="16" t="inlineStr">
        <is>
          <t>2026-10-02 14:57:33 UTC</t>
        </is>
      </c>
      <c r="C308" s="16" t="inlineStr">
        <is>
          <t>iorta QA (security-checks.mjs)</t>
        </is>
      </c>
      <c r="D308" s="16" t="inlineStr">
        <is>
          <t>SEC-11 – Another agency's policy cannot be read by changing the identifier (IDOR)</t>
        </is>
      </c>
      <c r="E308" s="16" t="inlineStr">
        <is>
          <t>script users</t>
        </is>
      </c>
      <c r="F308" s="16" t="inlineStr">
        <is>
          <t>node tools/security/security-checks.mjs (http://localhost:3001)</t>
        </is>
      </c>
      <c r="G308" s="16" t="inlineStr">
        <is>
          <t>PASS</t>
        </is>
      </c>
      <c r="H308" s="16" t="inlineStr">
        <is>
          <t>PASS</t>
        </is>
      </c>
      <c r="I308" s="17" t="inlineStr">
        <is>
          <t>Passed</t>
        </is>
      </c>
    </row>
    <row r="309">
      <c r="A309" s="16" t="inlineStr">
        <is>
          <t>Security checks</t>
        </is>
      </c>
      <c r="B309" s="16" t="inlineStr">
        <is>
          <t>2026-10-02 14:57:33 UTC</t>
        </is>
      </c>
      <c r="C309" s="16" t="inlineStr">
        <is>
          <t>iorta QA (security-checks.mjs)</t>
        </is>
      </c>
      <c r="D309" s="16" t="inlineStr">
        <is>
          <t>SEC-12 – Another agency's documents cannot be downloaded</t>
        </is>
      </c>
      <c r="E309" s="16" t="inlineStr">
        <is>
          <t>script users</t>
        </is>
      </c>
      <c r="F309" s="16" t="inlineStr">
        <is>
          <t>node tools/security/security-checks.mjs (http://localhost:3001)</t>
        </is>
      </c>
      <c r="G309" s="16" t="inlineStr">
        <is>
          <t>PASS</t>
        </is>
      </c>
      <c r="H309" s="16" t="inlineStr">
        <is>
          <t>PASS</t>
        </is>
      </c>
      <c r="I309" s="17" t="inlineStr">
        <is>
          <t>Passed</t>
        </is>
      </c>
    </row>
    <row r="310">
      <c r="A310" s="16" t="inlineStr">
        <is>
          <t>Security checks</t>
        </is>
      </c>
      <c r="B310" s="16" t="inlineStr">
        <is>
          <t>2026-10-02 14:57:33 UTC</t>
        </is>
      </c>
      <c r="C310" s="16" t="inlineStr">
        <is>
          <t>iorta QA (security-checks.mjs)</t>
        </is>
      </c>
      <c r="D310" s="16" t="inlineStr">
        <is>
          <t>SEC-13 – Participant profiles are limited to agencies that hold business with them</t>
        </is>
      </c>
      <c r="E310" s="16" t="inlineStr">
        <is>
          <t>script users</t>
        </is>
      </c>
      <c r="F310" s="16" t="inlineStr">
        <is>
          <t>node tools/security/security-checks.mjs (http://localhost:3001)</t>
        </is>
      </c>
      <c r="G310" s="16" t="inlineStr">
        <is>
          <t>PASS</t>
        </is>
      </c>
      <c r="H310" s="16" t="inlineStr">
        <is>
          <t>PASS</t>
        </is>
      </c>
      <c r="I310" s="17" t="inlineStr">
        <is>
          <t>Passed</t>
        </is>
      </c>
    </row>
    <row r="311">
      <c r="A311" s="16" t="inlineStr">
        <is>
          <t>Security checks</t>
        </is>
      </c>
      <c r="B311" s="16" t="inlineStr">
        <is>
          <t>2026-10-02 14:57:33 UTC</t>
        </is>
      </c>
      <c r="C311" s="16" t="inlineStr">
        <is>
          <t>iorta QA (security-checks.mjs)</t>
        </is>
      </c>
      <c r="D311" s="16" t="inlineStr">
        <is>
          <t>SEC-14 – Users cannot grant themselves permissions they do not hold</t>
        </is>
      </c>
      <c r="E311" s="16" t="inlineStr">
        <is>
          <t>script users</t>
        </is>
      </c>
      <c r="F311" s="16" t="inlineStr">
        <is>
          <t>node tools/security/security-checks.mjs (http://localhost:3001)</t>
        </is>
      </c>
      <c r="G311" s="16" t="inlineStr">
        <is>
          <t>PASS</t>
        </is>
      </c>
      <c r="H311" s="16" t="inlineStr">
        <is>
          <t>PASS</t>
        </is>
      </c>
      <c r="I311" s="17" t="inlineStr">
        <is>
          <t>Passed</t>
        </is>
      </c>
    </row>
    <row r="312">
      <c r="A312" s="16" t="inlineStr">
        <is>
          <t>Security checks</t>
        </is>
      </c>
      <c r="B312" s="16" t="inlineStr">
        <is>
          <t>2026-10-02 14:57:33 UTC</t>
        </is>
      </c>
      <c r="C312" s="16" t="inlineStr">
        <is>
          <t>iorta QA (security-checks.mjs)</t>
        </is>
      </c>
      <c r="D312" s="16" t="inlineStr">
        <is>
          <t>SEC-15 – State-changing requests require the session’s own CSRF token</t>
        </is>
      </c>
      <c r="E312" s="16" t="inlineStr">
        <is>
          <t>script users</t>
        </is>
      </c>
      <c r="F312" s="16" t="inlineStr">
        <is>
          <t>node tools/security/security-checks.mjs (http://localhost:3001)</t>
        </is>
      </c>
      <c r="G312" s="16" t="inlineStr">
        <is>
          <t>PASS</t>
        </is>
      </c>
      <c r="H312" s="16" t="inlineStr">
        <is>
          <t>PASS</t>
        </is>
      </c>
      <c r="I312" s="17" t="inlineStr">
        <is>
          <t>Passed</t>
        </is>
      </c>
    </row>
    <row r="313">
      <c r="A313" s="16" t="inlineStr">
        <is>
          <t>Security checks</t>
        </is>
      </c>
      <c r="B313" s="16" t="inlineStr">
        <is>
          <t>2026-10-02 14:57:33 UTC</t>
        </is>
      </c>
      <c r="C313" s="16" t="inlineStr">
        <is>
          <t>iorta QA (security-checks.mjs)</t>
        </is>
      </c>
      <c r="D313" s="16" t="inlineStr">
        <is>
          <t>SEC-17 – SQL/NoSQL/template injection payloads in search are treated as text</t>
        </is>
      </c>
      <c r="E313" s="16" t="inlineStr">
        <is>
          <t>script users</t>
        </is>
      </c>
      <c r="F313" s="16" t="inlineStr">
        <is>
          <t>node tools/security/security-checks.mjs (http://localhost:3001)</t>
        </is>
      </c>
      <c r="G313" s="16" t="inlineStr">
        <is>
          <t>PASS</t>
        </is>
      </c>
      <c r="H313" s="16" t="inlineStr">
        <is>
          <t>PASS</t>
        </is>
      </c>
      <c r="I313" s="17" t="inlineStr">
        <is>
          <t>Passed</t>
        </is>
      </c>
    </row>
    <row r="314">
      <c r="A314" s="16" t="inlineStr">
        <is>
          <t>Security checks</t>
        </is>
      </c>
      <c r="B314" s="16" t="inlineStr">
        <is>
          <t>2026-10-02 14:57:33 UTC</t>
        </is>
      </c>
      <c r="C314" s="16" t="inlineStr">
        <is>
          <t>iorta QA (security-checks.mjs)</t>
        </is>
      </c>
      <c r="D314" s="16" t="inlineStr">
        <is>
          <t>SEC-20 – Negative, future-dated and excessive payments are refused</t>
        </is>
      </c>
      <c r="E314" s="16" t="inlineStr">
        <is>
          <t>script users</t>
        </is>
      </c>
      <c r="F314" s="16" t="inlineStr">
        <is>
          <t>node tools/security/security-checks.mjs (http://localhost:3001)</t>
        </is>
      </c>
      <c r="G314" s="16" t="inlineStr">
        <is>
          <t>PASS</t>
        </is>
      </c>
      <c r="H314" s="16" t="inlineStr">
        <is>
          <t>PASS</t>
        </is>
      </c>
      <c r="I314" s="17" t="inlineStr">
        <is>
          <t>Passed</t>
        </is>
      </c>
    </row>
    <row r="315">
      <c r="A315" s="16" t="inlineStr">
        <is>
          <t>Security checks</t>
        </is>
      </c>
      <c r="B315" s="16" t="inlineStr">
        <is>
          <t>2026-10-02 14:57:33 UTC</t>
        </is>
      </c>
      <c r="C315" s="16" t="inlineStr">
        <is>
          <t>iorta QA (security-checks.mjs)</t>
        </is>
      </c>
      <c r="D315" s="16" t="inlineStr">
        <is>
          <t>SEC-21 – Unexpected fields (mass assignment) are rejected</t>
        </is>
      </c>
      <c r="E315" s="16" t="inlineStr">
        <is>
          <t>script users</t>
        </is>
      </c>
      <c r="F315" s="16" t="inlineStr">
        <is>
          <t>node tools/security/security-checks.mjs (http://localhost:3001)</t>
        </is>
      </c>
      <c r="G315" s="16" t="inlineStr">
        <is>
          <t>PASS</t>
        </is>
      </c>
      <c r="H315" s="16" t="inlineStr">
        <is>
          <t>PASS</t>
        </is>
      </c>
      <c r="I315" s="17" t="inlineStr">
        <is>
          <t>Passed</t>
        </is>
      </c>
    </row>
    <row r="316">
      <c r="A316" s="16" t="inlineStr">
        <is>
          <t>Security checks</t>
        </is>
      </c>
      <c r="B316" s="16" t="inlineStr">
        <is>
          <t>2026-10-02 14:57:33 UTC</t>
        </is>
      </c>
      <c r="C316" s="16" t="inlineStr">
        <is>
          <t>iorta QA (security-checks.mjs)</t>
        </is>
      </c>
      <c r="D316" s="16" t="inlineStr">
        <is>
          <t>SEC-22 – Uploads are checked by content: executables, HTML and SVG are refused</t>
        </is>
      </c>
      <c r="E316" s="16" t="inlineStr">
        <is>
          <t>script users</t>
        </is>
      </c>
      <c r="F316" s="16" t="inlineStr">
        <is>
          <t>node tools/security/security-checks.mjs (http://localhost:3001)</t>
        </is>
      </c>
      <c r="G316" s="16" t="inlineStr">
        <is>
          <t>PASS</t>
        </is>
      </c>
      <c r="H316" s="16" t="inlineStr">
        <is>
          <t>PASS</t>
        </is>
      </c>
      <c r="I316" s="17" t="inlineStr">
        <is>
          <t>Passed</t>
        </is>
      </c>
    </row>
    <row r="317">
      <c r="A317" s="16" t="inlineStr">
        <is>
          <t>Security checks</t>
        </is>
      </c>
      <c r="B317" s="16" t="inlineStr">
        <is>
          <t>2026-10-02 14:57:33 UTC</t>
        </is>
      </c>
      <c r="C317" s="16" t="inlineStr">
        <is>
          <t>iorta QA (security-checks.mjs)</t>
        </is>
      </c>
      <c r="D317" s="16" t="inlineStr">
        <is>
          <t>SEC-23 – Uploads above the size limit are refused</t>
        </is>
      </c>
      <c r="E317" s="16" t="inlineStr">
        <is>
          <t>script users</t>
        </is>
      </c>
      <c r="F317" s="16" t="inlineStr">
        <is>
          <t>node tools/security/security-checks.mjs (http://localhost:3001)</t>
        </is>
      </c>
      <c r="G317" s="16" t="inlineStr">
        <is>
          <t>PASS</t>
        </is>
      </c>
      <c r="H317" s="16" t="inlineStr">
        <is>
          <t>PASS</t>
        </is>
      </c>
      <c r="I317" s="17" t="inlineStr">
        <is>
          <t>Passed</t>
        </is>
      </c>
    </row>
    <row r="318">
      <c r="A318" s="16" t="inlineStr">
        <is>
          <t>Security checks</t>
        </is>
      </c>
      <c r="B318" s="16" t="inlineStr">
        <is>
          <t>2026-10-02 14:57:33 UTC</t>
        </is>
      </c>
      <c r="C318" s="16" t="inlineStr">
        <is>
          <t>iorta QA (security-checks.mjs)</t>
        </is>
      </c>
      <c r="D318" s="16" t="inlineStr">
        <is>
          <t>SEC-24 – Path elements in file names are removed</t>
        </is>
      </c>
      <c r="E318" s="16" t="inlineStr">
        <is>
          <t>script users</t>
        </is>
      </c>
      <c r="F318" s="16" t="inlineStr">
        <is>
          <t>node tools/security/security-checks.mjs (http://localhost:3001)</t>
        </is>
      </c>
      <c r="G318" s="16" t="inlineStr">
        <is>
          <t>PASS</t>
        </is>
      </c>
      <c r="H318" s="16" t="inlineStr">
        <is>
          <t>PASS</t>
        </is>
      </c>
      <c r="I318" s="17" t="inlineStr">
        <is>
          <t>Passed</t>
        </is>
      </c>
    </row>
    <row r="319">
      <c r="A319" s="16" t="inlineStr">
        <is>
          <t>Security checks</t>
        </is>
      </c>
      <c r="B319" s="16" t="inlineStr">
        <is>
          <t>2026-10-02 14:57:33 UTC</t>
        </is>
      </c>
      <c r="C319" s="16" t="inlineStr">
        <is>
          <t>iorta QA (security-checks.mjs)</t>
        </is>
      </c>
      <c r="D319" s="16" t="inlineStr">
        <is>
          <t>SEC-25 – Identification numbers are returned masked; ciphertext and hashes are never returned</t>
        </is>
      </c>
      <c r="E319" s="16" t="inlineStr">
        <is>
          <t>script users</t>
        </is>
      </c>
      <c r="F319" s="16" t="inlineStr">
        <is>
          <t>node tools/security/security-checks.mjs (http://localhost:3001)</t>
        </is>
      </c>
      <c r="G319" s="16" t="inlineStr">
        <is>
          <t>PASS</t>
        </is>
      </c>
      <c r="H319" s="16" t="inlineStr">
        <is>
          <t>PASS</t>
        </is>
      </c>
      <c r="I319" s="17" t="inlineStr">
        <is>
          <t>Passed</t>
        </is>
      </c>
    </row>
    <row r="320">
      <c r="A320" s="16" t="inlineStr">
        <is>
          <t>Security checks</t>
        </is>
      </c>
      <c r="B320" s="16" t="inlineStr">
        <is>
          <t>2026-10-02 14:57:33 UTC</t>
        </is>
      </c>
      <c r="C320" s="16" t="inlineStr">
        <is>
          <t>iorta QA (security-checks.mjs)</t>
        </is>
      </c>
      <c r="D320" s="16" t="inlineStr">
        <is>
          <t>SEC-26 – Password hashes are never returned by the API</t>
        </is>
      </c>
      <c r="E320" s="16" t="inlineStr">
        <is>
          <t>script users</t>
        </is>
      </c>
      <c r="F320" s="16" t="inlineStr">
        <is>
          <t>node tools/security/security-checks.mjs (http://localhost:3001)</t>
        </is>
      </c>
      <c r="G320" s="16" t="inlineStr">
        <is>
          <t>PASS</t>
        </is>
      </c>
      <c r="H320" s="16" t="inlineStr">
        <is>
          <t>PASS</t>
        </is>
      </c>
      <c r="I320" s="17" t="inlineStr">
        <is>
          <t>Passed</t>
        </is>
      </c>
    </row>
    <row r="321">
      <c r="A321" s="16" t="inlineStr">
        <is>
          <t>Security checks</t>
        </is>
      </c>
      <c r="B321" s="16" t="inlineStr">
        <is>
          <t>2026-10-02 14:57:33 UTC</t>
        </is>
      </c>
      <c r="C321" s="16" t="inlineStr">
        <is>
          <t>iorta QA (security-checks.mjs)</t>
        </is>
      </c>
      <c r="D321" s="16" t="inlineStr">
        <is>
          <t>SEC-27 – Failed sign-ins are recorded in the audit trail with IP address</t>
        </is>
      </c>
      <c r="E321" s="16" t="inlineStr">
        <is>
          <t>script users</t>
        </is>
      </c>
      <c r="F321" s="16" t="inlineStr">
        <is>
          <t>node tools/security/security-checks.mjs (http://localhost:3001)</t>
        </is>
      </c>
      <c r="G321" s="16" t="inlineStr">
        <is>
          <t>PASS</t>
        </is>
      </c>
      <c r="H321" s="16" t="inlineStr">
        <is>
          <t>PASS</t>
        </is>
      </c>
      <c r="I321" s="17" t="inlineStr">
        <is>
          <t>Passed</t>
        </is>
      </c>
    </row>
    <row r="322">
      <c r="A322" s="16" t="inlineStr">
        <is>
          <t>Security checks</t>
        </is>
      </c>
      <c r="B322" s="16" t="inlineStr">
        <is>
          <t>2026-10-02 14:57:33 UTC</t>
        </is>
      </c>
      <c r="C322" s="16" t="inlineStr">
        <is>
          <t>iorta QA (security-checks.mjs)</t>
        </is>
      </c>
      <c r="D322" s="16" t="inlineStr">
        <is>
          <t>SEC-28 – Every response carries a correlation id for tracing</t>
        </is>
      </c>
      <c r="E322" s="16" t="inlineStr">
        <is>
          <t>script users</t>
        </is>
      </c>
      <c r="F322" s="16" t="inlineStr">
        <is>
          <t>node tools/security/security-checks.mjs (http://localhost:3001)</t>
        </is>
      </c>
      <c r="G322" s="16" t="inlineStr">
        <is>
          <t>PASS</t>
        </is>
      </c>
      <c r="H322" s="16" t="inlineStr">
        <is>
          <t>PASS</t>
        </is>
      </c>
      <c r="I322" s="17" t="inlineStr">
        <is>
          <t>Passed</t>
        </is>
      </c>
    </row>
    <row r="323">
      <c r="A323" s="16" t="inlineStr">
        <is>
          <t>Security checks</t>
        </is>
      </c>
      <c r="B323" s="16" t="inlineStr">
        <is>
          <t>2026-10-02 14:57:33 UTC</t>
        </is>
      </c>
      <c r="C323" s="16" t="inlineStr">
        <is>
          <t>iorta QA (security-checks.mjs)</t>
        </is>
      </c>
      <c r="D323" s="16" t="inlineStr">
        <is>
          <t>SEC-29 – E-signature links cannot be guessed; invalid tokens reveal nothing</t>
        </is>
      </c>
      <c r="E323" s="16" t="inlineStr">
        <is>
          <t>script users</t>
        </is>
      </c>
      <c r="F323" s="16" t="inlineStr">
        <is>
          <t>node tools/security/security-checks.mjs (http://localhost:3001)</t>
        </is>
      </c>
      <c r="G323" s="16" t="inlineStr">
        <is>
          <t>PASS</t>
        </is>
      </c>
      <c r="H323" s="16" t="inlineStr">
        <is>
          <t>PASS</t>
        </is>
      </c>
      <c r="I323" s="17" t="inlineStr">
        <is>
          <t>Passed</t>
        </is>
      </c>
    </row>
    <row r="324">
      <c r="A324" s="16" t="inlineStr">
        <is>
          <t>Security checks</t>
        </is>
      </c>
      <c r="B324" s="16" t="inlineStr">
        <is>
          <t>2026-10-02 14:57:33 UTC</t>
        </is>
      </c>
      <c r="C324" s="16" t="inlineStr">
        <is>
          <t>iorta QA (security-checks.mjs)</t>
        </is>
      </c>
      <c r="D324" s="16" t="inlineStr">
        <is>
          <t>SEC-30 – System-to-system APIs require a valid API key</t>
        </is>
      </c>
      <c r="E324" s="16" t="inlineStr">
        <is>
          <t>script users</t>
        </is>
      </c>
      <c r="F324" s="16" t="inlineStr">
        <is>
          <t>node tools/security/security-checks.mjs (http://localhost:3001)</t>
        </is>
      </c>
      <c r="G324" s="16" t="inlineStr">
        <is>
          <t>PASS</t>
        </is>
      </c>
      <c r="H324" s="16" t="inlineStr">
        <is>
          <t>PASS</t>
        </is>
      </c>
      <c r="I324" s="17" t="inlineStr">
        <is>
          <t>Passed</t>
        </is>
      </c>
    </row>
    <row r="325">
      <c r="A325" s="16" t="inlineStr">
        <is>
          <t>Security checks</t>
        </is>
      </c>
      <c r="B325" s="16" t="inlineStr">
        <is>
          <t>2026-10-02 14:57:33 UTC</t>
        </is>
      </c>
      <c r="C325" s="16" t="inlineStr">
        <is>
          <t>iorta QA (security-checks.mjs)</t>
        </is>
      </c>
      <c r="D325" s="16" t="inlineStr">
        <is>
          <t>SEC-08 – Sign-in attempts are rate limited per client (HTTP 429)</t>
        </is>
      </c>
      <c r="E325" s="16" t="inlineStr">
        <is>
          <t>script users</t>
        </is>
      </c>
      <c r="F325" s="16" t="inlineStr">
        <is>
          <t>node tools/security/security-checks.mjs (http://localhost:3001)</t>
        </is>
      </c>
      <c r="G325" s="16" t="inlineStr">
        <is>
          <t>PASS</t>
        </is>
      </c>
      <c r="H325" s="16" t="inlineStr">
        <is>
          <t>PASS</t>
        </is>
      </c>
      <c r="I325" s="17" t="inlineStr">
        <is>
          <t>Passed</t>
        </is>
      </c>
    </row>
    <row r="326">
      <c r="A326" s="16" t="inlineStr">
        <is>
          <t>Manual UI run</t>
        </is>
      </c>
      <c r="B326" s="16" t="inlineStr">
        <is>
          <t>2026-10-02 (Brunei afternoon)</t>
        </is>
      </c>
      <c r="C326" s="16" t="inlineStr">
        <is>
          <t>iorta QA (manual, exploratory)</t>
        </is>
      </c>
      <c r="D326" s="16" t="inlineStr">
        <is>
          <t>Portal and back-office screens listed on the Cases sheet (level UI)</t>
        </is>
      </c>
      <c r="E326" s="16" t="inlineStr">
        <is>
          <t>demo users</t>
        </is>
      </c>
      <c r="F326" s="16" t="inlineStr">
        <is>
          <t>Browser against http://localhost:5173</t>
        </is>
      </c>
      <c r="G326" s="16" t="inlineStr">
        <is>
          <t>Screens behave as described</t>
        </is>
      </c>
      <c r="H326" s="16" t="inlineStr">
        <is>
          <t>Screen captures in evidence/ui-screens</t>
        </is>
      </c>
      <c r="I326" s="17" t="inlineStr">
        <is>
          <t>Passed</t>
        </is>
      </c>
    </row>
    <row r="327">
      <c r="A327" s="16" t="inlineStr">
        <is>
          <t>Environment note</t>
        </is>
      </c>
      <c r="B327" s="16" t="inlineStr">
        <is>
          <t>2026-10-02 21:44–21:49 UTC</t>
        </is>
      </c>
      <c r="C327" s="16" t="inlineStr">
        <is>
          <t>iorta QA</t>
        </is>
      </c>
      <c r="D327" s="16" t="inlineStr">
        <is>
          <t>First API run</t>
        </is>
      </c>
      <c r="E327" s="16" t="inlineStr">
        <is>
          <t>shared demo accounts</t>
        </is>
      </c>
      <c r="F327" s="16" t="inlineStr">
        <is>
          <t>Other engineers signed in to the same demonstration accounts from the UI during the run</t>
        </is>
      </c>
      <c r="G327" s="16" t="inlineStr">
        <is>
          <t>–</t>
        </is>
      </c>
      <c r="H327" s="16" t="inlineStr">
        <is>
          <t>Single-active-session ended 25 cases' sessions; the script now signs in again and the run was repeated (final run recorded above)</t>
        </is>
      </c>
      <c r="I327" s="18" t="inlineStr">
        <is>
          <t>Not executed</t>
        </is>
      </c>
    </row>
  </sheetData>
  <printOptions horizontalCentered="1"/>
  <pageMargins left="0.4" right="0.4" top="0.6" bottom="0.6" header="0.5" footer="0.5"/>
  <pageSetup orientation="landscape" paperSize="9" fitToHeight="0" fitToWidth="1"/>
  <headerFooter>
    <oddHeader>&amp;R&amp;8 iorta TechNXT | IIFT Agent/Banca Portal &amp; Back-office</oddHeader>
    <oddFooter>&amp;L&amp;8 Commercial-in-Confidence | IIFT-SV2-TCS v1.0&amp;R&amp;8 &amp;A |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iorta TechNXT</dc:creator>
  <dc:title xmlns:dc="http://purl.org/dc/elements/1.1/">SalesVerse 2.0 – Test Cases</dc:title>
  <dc:subject xmlns:dc="http://purl.org/dc/elements/1.1/">Test scenarios, conditions, cases and results for Insurans Islam Family Takaful Sendirian Berhad</dc:subject>
  <dcterms:created xmlns:dcterms="http://purl.org/dc/terms/" xmlns:xsi="http://www.w3.org/2001/XMLSchema-instance" xsi:type="dcterms:W3CDTF">2026-10-02T22:16:08Z</dcterms:created>
  <dcterms:modified xmlns:dcterms="http://purl.org/dc/terms/" xmlns:xsi="http://www.w3.org/2001/XMLSchema-instance" xsi:type="dcterms:W3CDTF">2026-10-02T22:16:08Z</dcterms:modified>
  <cp:lastModifiedBy>iorta TechNXT</cp:lastModifiedBy>
  <cp:keywords>SalesVerse 2.0; IIFT; test cases; traceability</cp:keywords>
</cp:coreProperties>
</file>