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n-premise infrastructure" sheetId="2" state="visible" r:id="rId2"/>
    <sheet xmlns:r="http://schemas.openxmlformats.org/officeDocument/2006/relationships" name="Cloud services (Option B)" sheetId="3" state="visible" r:id="rId3"/>
    <sheet xmlns:r="http://schemas.openxmlformats.org/officeDocument/2006/relationships" name="Software &amp; licences" sheetId="4" state="visible" r:id="rId4"/>
    <sheet xmlns:r="http://schemas.openxmlformats.org/officeDocument/2006/relationships" name="Third-party services" sheetId="5" state="visible" r:id="rId5"/>
    <sheet xmlns:r="http://schemas.openxmlformats.org/officeDocument/2006/relationships" name="Assumptions" sheetId="6" state="visible" r:id="rId6"/>
  </sheets>
  <definedNames/>
  <calcPr calcId="124519" fullCalcOnLoad="1"/>
</workbook>
</file>

<file path=xl/styles.xml><?xml version="1.0" encoding="utf-8"?>
<styleSheet xmlns="http://schemas.openxmlformats.org/spreadsheetml/2006/main">
  <numFmts count="1">
    <numFmt numFmtId="164" formatCode="#,##0;(#,##0);&quot;–&quot;"/>
  </numFmts>
  <fonts count="7">
    <font>
      <name val="Calibri"/>
      <family val="2"/>
      <color theme="1"/>
      <sz val="11"/>
      <scheme val="minor"/>
    </font>
    <font>
      <name val="Arial"/>
      <b val="1"/>
      <color rgb="00E1058C"/>
      <sz val="15"/>
    </font>
    <font>
      <name val="Arial"/>
      <i val="1"/>
      <color rgb="006B6B6B"/>
      <sz val="9"/>
    </font>
    <font>
      <name val="Arial"/>
      <b val="1"/>
      <color rgb="00FFFFFF"/>
      <sz val="10"/>
    </font>
    <font>
      <name val="Arial"/>
      <color rgb="00333333"/>
      <sz val="10"/>
    </font>
    <font>
      <name val="Arial"/>
      <b val="1"/>
      <color rgb="00333333"/>
      <sz val="10"/>
    </font>
    <font>
      <name val="Arial"/>
      <b val="1"/>
      <color rgb="00F58220"/>
      <sz val="11"/>
    </font>
  </fonts>
  <fills count="5">
    <fill>
      <patternFill/>
    </fill>
    <fill>
      <patternFill patternType="gray125"/>
    </fill>
    <fill>
      <patternFill patternType="solid">
        <fgColor rgb="00E1058C"/>
      </patternFill>
    </fill>
    <fill>
      <patternFill patternType="solid">
        <fgColor rgb="00FDF0F7"/>
      </patternFill>
    </fill>
    <fill>
      <patternFill patternType="solid">
        <fgColor rgb="00FEEBDD"/>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4" fillId="0" borderId="0" applyAlignment="1" pivotButton="0" quotePrefix="0" xfId="0">
      <alignment horizontal="left" vertical="top"/>
    </xf>
    <xf numFmtId="0" fontId="6"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164" fontId="4" fillId="0" borderId="1" applyAlignment="1" pivotButton="0" quotePrefix="0" xfId="0">
      <alignment horizontal="right" vertical="top"/>
    </xf>
    <xf numFmtId="0" fontId="5" fillId="4" borderId="1" applyAlignment="1" pivotButton="0" quotePrefix="0" xfId="0">
      <alignment vertical="top" wrapText="1"/>
    </xf>
    <xf numFmtId="164" fontId="5" fillId="4" borderId="1" applyAlignment="1" pivotButton="0" quotePrefix="0" xfId="0">
      <alignment horizontal="right" vertical="top"/>
    </xf>
    <xf numFmtId="0" fontId="4" fillId="0" borderId="0" applyAlignment="1" pivotButton="0" quotePrefix="0" xfId="0">
      <alignment vertical="top" wrapText="1"/>
    </xf>
    <xf numFmtId="0" fontId="2" fillId="0" borderId="0" applyAlignment="1" pivotButton="0" quotePrefix="0" xfId="0">
      <alignment vertical="top" wrapText="1"/>
    </xf>
    <xf numFmtId="0" fontId="4" fillId="0" borderId="1" applyAlignment="1" pivotButton="0" quotePrefix="0" xfId="0">
      <alignment horizontal="center" vertical="top" wrapText="1"/>
    </xf>
    <xf numFmtId="0" fontId="4" fillId="3" borderId="1" applyAlignment="1" pivotButton="0" quotePrefix="0" xfId="0">
      <alignment vertical="top" wrapText="1"/>
    </xf>
    <xf numFmtId="0" fontId="4" fillId="3" borderId="1" applyAlignment="1" pivotButton="0" quotePrefix="0" xfId="0">
      <alignment horizontal="center" vertical="top" wrapText="1"/>
    </xf>
    <xf numFmtId="164" fontId="4" fillId="3" borderId="1" applyAlignment="1" pivotButton="0" quotePrefix="0" xfId="0">
      <alignment horizontal="right" vertical="top"/>
    </xf>
    <xf numFmtId="0" fontId="5" fillId="4" borderId="1" applyAlignment="1" pivotButton="0" quotePrefix="0" xfId="0">
      <alignment horizontal="center"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724025"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E1058C"/>
    <outlinePr summaryBelow="1" summaryRight="1"/>
    <pageSetUpPr fitToPage="1"/>
  </sheetPr>
  <dimension ref="A4:H33"/>
  <sheetViews>
    <sheetView showGridLines="0" zoomScale="90" workbookViewId="0">
      <pane ySplit="9" topLeftCell="A10" activePane="bottomLeft" state="frozen"/>
      <selection pane="bottomLeft" activeCell="A1" sqref="A1"/>
    </sheetView>
  </sheetViews>
  <sheetFormatPr baseColWidth="8" defaultRowHeight="15"/>
  <cols>
    <col width="54" customWidth="1" min="1" max="1"/>
    <col width="26" customWidth="1" min="2" max="2"/>
    <col width="14" customWidth="1" min="3" max="3"/>
    <col width="14" customWidth="1" min="4" max="4"/>
    <col width="14" customWidth="1" min="5" max="5"/>
    <col width="14" customWidth="1" min="6" max="6"/>
    <col width="15" customWidth="1" min="7" max="7"/>
    <col width="15" customWidth="1" min="8" max="8"/>
  </cols>
  <sheetData>
    <row r="1" ht="16" customHeight="1"/>
    <row r="2" ht="16" customHeight="1"/>
    <row r="3" ht="16" customHeight="1"/>
    <row r="4" ht="22" customHeight="1">
      <c r="A4" s="1" t="inlineStr">
        <is>
          <t>Proposal for Agent/Banca Portal &amp; Back-office Solution: Bill of Materials</t>
        </is>
      </c>
    </row>
    <row r="5">
      <c r="A5" s="2" t="inlineStr">
        <is>
          <t>iorta TechNXT – proposal to Insurans Islam Family Takaful Sendirian Berhad – October 2026</t>
        </is>
      </c>
    </row>
    <row r="7">
      <c r="A7" s="3" t="inlineStr">
        <is>
          <t>Client</t>
        </is>
      </c>
      <c r="B7" s="4" t="inlineStr">
        <is>
          <t>Insurans Islam Family Takaful Sendirian Berhad</t>
        </is>
      </c>
    </row>
    <row r="8">
      <c r="A8" s="3" t="inlineStr">
        <is>
          <t>Bidder</t>
        </is>
      </c>
      <c r="B8" s="4" t="inlineStr">
        <is>
          <t>iorta TechNXT</t>
        </is>
      </c>
    </row>
    <row r="9">
      <c r="A9" s="3" t="inlineStr">
        <is>
          <t>Solution</t>
        </is>
      </c>
      <c r="B9" s="4" t="inlineStr">
        <is>
          <t>SalesVerse 2.0, configured as the IIFT Agent/Banca Portal &amp; Back-office</t>
        </is>
      </c>
    </row>
    <row r="10">
      <c r="A10" s="3" t="inlineStr">
        <is>
          <t>Currency</t>
        </is>
      </c>
      <c r="B10" s="4" t="inlineStr">
        <is>
          <t>Brunei Dollar (B$), indicative amounts</t>
        </is>
      </c>
    </row>
    <row r="12" ht="18" customHeight="1">
      <c r="A12" s="5" t="inlineStr">
        <is>
          <t>Option A – on-premise (B$)</t>
        </is>
      </c>
    </row>
    <row r="13" ht="30" customHeight="1">
      <c r="A13" s="6" t="inlineStr">
        <is>
          <t>Category</t>
        </is>
      </c>
      <c r="B13" s="6" t="inlineStr">
        <is>
          <t>Treatment</t>
        </is>
      </c>
      <c r="C13" s="6" t="inlineStr">
        <is>
          <t>One-time low</t>
        </is>
      </c>
      <c r="D13" s="6" t="inlineStr">
        <is>
          <t>One-time high</t>
        </is>
      </c>
      <c r="E13" s="6" t="inlineStr">
        <is>
          <t>Per year low</t>
        </is>
      </c>
      <c r="F13" s="6" t="inlineStr">
        <is>
          <t>Per year high</t>
        </is>
      </c>
      <c r="G13" s="6" t="inlineStr">
        <is>
          <t>Five years low</t>
        </is>
      </c>
      <c r="H13" s="6" t="inlineStr">
        <is>
          <t>Five years high</t>
        </is>
      </c>
    </row>
    <row r="14">
      <c r="A14" s="7" t="inlineStr">
        <is>
          <t>On-premise infrastructure (servers, storage, DR)</t>
        </is>
      </c>
      <c r="B14" s="7" t="inlineStr">
        <is>
          <t>IIFT procures</t>
        </is>
      </c>
      <c r="C14" s="8">
        <f>'On-premise infrastructure'!$L$19</f>
        <v/>
      </c>
      <c r="D14" s="8">
        <f>'On-premise infrastructure'!$M$19</f>
        <v/>
      </c>
      <c r="E14" s="8" t="n">
        <v>0</v>
      </c>
      <c r="F14" s="8" t="n">
        <v>0</v>
      </c>
      <c r="G14" s="8">
        <f>C14+5*E14</f>
        <v/>
      </c>
      <c r="H14" s="8">
        <f>D14+5*F14</f>
        <v/>
      </c>
    </row>
    <row r="15">
      <c r="A15" s="7" t="inlineStr">
        <is>
          <t>Operating system (Ubuntu Server LTS)</t>
        </is>
      </c>
      <c r="B15" s="7" t="inlineStr">
        <is>
          <t>IIFT procures</t>
        </is>
      </c>
      <c r="C15" s="8" t="n">
        <v>0</v>
      </c>
      <c r="D15" s="8" t="n">
        <v>0</v>
      </c>
      <c r="E15" s="8" t="n">
        <v>0</v>
      </c>
      <c r="F15" s="8" t="n">
        <v>0</v>
      </c>
      <c r="G15" s="8">
        <f>C15+5*E15</f>
        <v/>
      </c>
      <c r="H15" s="8">
        <f>D15+5*F15</f>
        <v/>
      </c>
    </row>
    <row r="16">
      <c r="A16" s="7" t="inlineStr">
        <is>
          <t>Runtime software licences (open source)</t>
        </is>
      </c>
      <c r="B16" s="7" t="inlineStr">
        <is>
          <t>Included in iorta fee</t>
        </is>
      </c>
      <c r="C16" s="8" t="n">
        <v>0</v>
      </c>
      <c r="D16" s="8" t="n">
        <v>0</v>
      </c>
      <c r="E16" s="8" t="n">
        <v>0</v>
      </c>
      <c r="F16" s="8" t="n">
        <v>0</v>
      </c>
      <c r="G16" s="8">
        <f>C16+5*E16</f>
        <v/>
      </c>
      <c r="H16" s="8">
        <f>D16+5*F16</f>
        <v/>
      </c>
    </row>
    <row r="17">
      <c r="A17" s="7" t="inlineStr">
        <is>
          <t>Third-party services – required (SMS, AML data, certificates, e-mail)</t>
        </is>
      </c>
      <c r="B17" s="7" t="inlineStr">
        <is>
          <t>IIFT procures / at cost</t>
        </is>
      </c>
      <c r="C17" s="8" t="n">
        <v>0</v>
      </c>
      <c r="D17" s="8" t="n">
        <v>0</v>
      </c>
      <c r="E17" s="8">
        <f>'Third-party services'!$E$22</f>
        <v/>
      </c>
      <c r="F17" s="8">
        <f>'Third-party services'!$F$22</f>
        <v/>
      </c>
      <c r="G17" s="8">
        <f>C17+5*E17</f>
        <v/>
      </c>
      <c r="H17" s="8">
        <f>D17+5*F17</f>
        <v/>
      </c>
    </row>
    <row r="18">
      <c r="A18" s="9" t="inlineStr">
        <is>
          <t>Total Option A, required items</t>
        </is>
      </c>
      <c r="B18" s="9" t="inlineStr"/>
      <c r="C18" s="10">
        <f>C14+C15+C16+C17</f>
        <v/>
      </c>
      <c r="D18" s="10">
        <f>D14+D15+D16+D17</f>
        <v/>
      </c>
      <c r="E18" s="10">
        <f>E14+E15+E16+E17</f>
        <v/>
      </c>
      <c r="F18" s="10">
        <f>F14+F15+F16+F17</f>
        <v/>
      </c>
      <c r="G18" s="10">
        <f>G14+G15+G16+G17</f>
        <v/>
      </c>
      <c r="H18" s="10">
        <f>H14+H15+H16+H17</f>
        <v/>
      </c>
    </row>
    <row r="19">
      <c r="A19" s="7" t="inlineStr">
        <is>
          <t>Optional items (PostgreSQL support, RHEL, escrow)</t>
        </is>
      </c>
      <c r="B19" s="7" t="inlineStr">
        <is>
          <t>Only if IIFT elects</t>
        </is>
      </c>
      <c r="C19" s="8" t="n">
        <v>0</v>
      </c>
      <c r="D19" s="8" t="n">
        <v>0</v>
      </c>
      <c r="E19" s="8">
        <f>'Third-party services'!$E$23</f>
        <v/>
      </c>
      <c r="F19" s="8">
        <f>'Third-party services'!$F$23</f>
        <v/>
      </c>
      <c r="G19" s="8">
        <f>C19+5*E19</f>
        <v/>
      </c>
      <c r="H19" s="8">
        <f>D19+5*F19</f>
        <v/>
      </c>
    </row>
    <row r="21" ht="18" customHeight="1">
      <c r="A21" s="5" t="inlineStr">
        <is>
          <t>Option B – iorta-hosted cloud (B$)</t>
        </is>
      </c>
    </row>
    <row r="22" ht="30" customHeight="1">
      <c r="A22" s="6" t="inlineStr">
        <is>
          <t>Category</t>
        </is>
      </c>
      <c r="B22" s="6" t="inlineStr">
        <is>
          <t>Treatment</t>
        </is>
      </c>
      <c r="C22" s="6" t="inlineStr">
        <is>
          <t>One-time low</t>
        </is>
      </c>
      <c r="D22" s="6" t="inlineStr">
        <is>
          <t>One-time high</t>
        </is>
      </c>
      <c r="E22" s="6" t="inlineStr">
        <is>
          <t>Per year low</t>
        </is>
      </c>
      <c r="F22" s="6" t="inlineStr">
        <is>
          <t>Per year high</t>
        </is>
      </c>
      <c r="G22" s="6" t="inlineStr">
        <is>
          <t>Five years low</t>
        </is>
      </c>
      <c r="H22" s="6" t="inlineStr">
        <is>
          <t>Five years high</t>
        </is>
      </c>
    </row>
    <row r="23">
      <c r="A23" s="7" t="inlineStr">
        <is>
          <t>Cloud services at cost (estimate)</t>
        </is>
      </c>
      <c r="B23" s="7" t="inlineStr">
        <is>
          <t>Disbursement at cost or paid by IIFT directly</t>
        </is>
      </c>
      <c r="C23" s="8">
        <f>'Cloud services (Option B)'!$F$17</f>
        <v/>
      </c>
      <c r="D23" s="8">
        <f>'Cloud services (Option B)'!$F$17</f>
        <v/>
      </c>
      <c r="E23" s="8">
        <f>'Cloud services (Option B)'!$F$16</f>
        <v/>
      </c>
      <c r="F23" s="8">
        <f>'Cloud services (Option B)'!$F$16</f>
        <v/>
      </c>
      <c r="G23" s="8">
        <f>C23+5*E23</f>
        <v/>
      </c>
      <c r="H23" s="8">
        <f>D23+5*F23</f>
        <v/>
      </c>
    </row>
    <row r="24">
      <c r="A24" s="7" t="inlineStr">
        <is>
          <t>Runtime software licences (open source)</t>
        </is>
      </c>
      <c r="B24" s="7" t="inlineStr">
        <is>
          <t>Included in iorta fee</t>
        </is>
      </c>
      <c r="C24" s="8" t="n">
        <v>0</v>
      </c>
      <c r="D24" s="8" t="n">
        <v>0</v>
      </c>
      <c r="E24" s="8" t="n">
        <v>0</v>
      </c>
      <c r="F24" s="8" t="n">
        <v>0</v>
      </c>
      <c r="G24" s="8">
        <f>C24+5*E24</f>
        <v/>
      </c>
      <c r="H24" s="8">
        <f>D24+5*F24</f>
        <v/>
      </c>
    </row>
    <row r="25">
      <c r="A25" s="7" t="inlineStr">
        <is>
          <t>Third-party services – required (SMS, AML data, e-mail)</t>
        </is>
      </c>
      <c r="B25" s="7" t="inlineStr">
        <is>
          <t>IIFT procures</t>
        </is>
      </c>
      <c r="C25" s="8" t="n">
        <v>0</v>
      </c>
      <c r="D25" s="8" t="n">
        <v>0</v>
      </c>
      <c r="E25" s="8">
        <f>'Third-party services'!$H$22</f>
        <v/>
      </c>
      <c r="F25" s="8">
        <f>'Third-party services'!$I$22</f>
        <v/>
      </c>
      <c r="G25" s="8">
        <f>C25+5*E25</f>
        <v/>
      </c>
      <c r="H25" s="8">
        <f>D25+5*F25</f>
        <v/>
      </c>
    </row>
    <row r="26">
      <c r="A26" s="9" t="inlineStr">
        <is>
          <t>Total Option B, required items</t>
        </is>
      </c>
      <c r="B26" s="9" t="inlineStr"/>
      <c r="C26" s="10">
        <f>C23+C24+C25</f>
        <v/>
      </c>
      <c r="D26" s="10">
        <f>D23+D24+D25</f>
        <v/>
      </c>
      <c r="E26" s="10">
        <f>E23+E24+E25</f>
        <v/>
      </c>
      <c r="F26" s="10">
        <f>F23+F24+F25</f>
        <v/>
      </c>
      <c r="G26" s="10">
        <f>G23+G24+G25</f>
        <v/>
      </c>
      <c r="H26" s="10">
        <f>H23+H24+H25</f>
        <v/>
      </c>
    </row>
    <row r="27">
      <c r="A27" s="7" t="inlineStr">
        <is>
          <t>Optional items (escrow)</t>
        </is>
      </c>
      <c r="B27" s="7" t="inlineStr">
        <is>
          <t>Only if IIFT elects</t>
        </is>
      </c>
      <c r="C27" s="8" t="n">
        <v>0</v>
      </c>
      <c r="D27" s="8" t="n">
        <v>0</v>
      </c>
      <c r="E27" s="8">
        <f>'Third-party services'!$H$23</f>
        <v/>
      </c>
      <c r="F27" s="8">
        <f>'Third-party services'!$I$23</f>
        <v/>
      </c>
      <c r="G27" s="8">
        <f>C27+5*E27</f>
        <v/>
      </c>
      <c r="H27" s="8">
        <f>D27+5*F27</f>
        <v/>
      </c>
    </row>
    <row r="29" ht="18" customHeight="1">
      <c r="A29" s="5" t="inlineStr">
        <is>
          <t>Notes</t>
        </is>
      </c>
    </row>
    <row r="30" ht="13" customHeight="1">
      <c r="A30" s="11" t="inlineStr">
        <is>
          <t>•  Infrastructure and third-party items are paid by IIFT directly or passed through by iorta at cost, without mark-up. They are not included in iorta's fees in the pricing workbook.</t>
        </is>
      </c>
    </row>
    <row r="31" ht="13" customHeight="1">
      <c r="A31" s="11" t="inlineStr">
        <is>
          <t>•  Independent VAPT and re-test before go-live, the monitoring stack and the CI/CD tooling are included in iorta's fees.</t>
        </is>
      </c>
    </row>
    <row r="32" ht="26" customHeight="1">
      <c r="A32" s="11" t="inlineStr">
        <is>
          <t>•  Under Option B, the one-off cloud set-up fee (B$ 15,000) and iorta's managed services are iorta fees in the pricing workbook, not in this BOM. Cloud charges are recharged at cost as disbursements with provider invoices attached, or paid by IIFT directly if it holds the account.</t>
        </is>
      </c>
    </row>
    <row r="33" ht="13" customHeight="1">
      <c r="A33" s="11" t="inlineStr">
        <is>
          <t>•  Sizing basis: 26 named users, about 628 policies a year; designed for 100 concurrent and 500 named users. Ranges are indicative for budgeting.</t>
        </is>
      </c>
    </row>
  </sheetData>
  <mergeCells count="4">
    <mergeCell ref="A32:H32"/>
    <mergeCell ref="A33:H33"/>
    <mergeCell ref="A31:H31"/>
    <mergeCell ref="A30:H30"/>
  </mergeCells>
  <printOptions horizontalCentered="1"/>
  <pageMargins left="0.4" right="0.4" top="0.6" bottom="0.6" header="0.5" footer="0.5"/>
  <pageSetup orientation="landscape" paperSize="9" fitToHeight="1" fitToWidth="1"/>
  <headerFooter>
    <oddHeader>&amp;R&amp;8 iorta TechNXT | IIFT Agent/Banca Portal &amp; Back-office</oddHeader>
    <oddFooter>&amp;L&amp;8 Commercial-in-Confidence&amp;R&amp;8 &amp;A |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F58220"/>
    <outlinePr summaryBelow="1" summaryRight="1"/>
    <pageSetUpPr fitToPage="1"/>
  </sheetPr>
  <dimension ref="A1:N31"/>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5" customWidth="1" min="3" max="3"/>
    <col width="8" customWidth="1" min="4" max="4"/>
    <col width="10" customWidth="1" min="5" max="5"/>
    <col width="16" customWidth="1" min="6" max="6"/>
    <col width="40" customWidth="1" min="7" max="7"/>
    <col width="10" customWidth="1" min="8" max="8"/>
    <col width="12" customWidth="1" min="9" max="9"/>
    <col width="13" customWidth="1" min="10" max="10"/>
    <col width="13" customWidth="1" min="11" max="11"/>
    <col width="13" customWidth="1" min="12" max="12"/>
    <col width="13" customWidth="1" min="13" max="13"/>
    <col width="40" customWidth="1" min="14" max="14"/>
  </cols>
  <sheetData>
    <row r="1" ht="22" customHeight="1">
      <c r="A1" s="1" t="inlineStr">
        <is>
          <t>On-premise infrastructure for Option A – procured by IIFT to iorta's sizing</t>
        </is>
      </c>
    </row>
    <row r="2">
      <c r="A2" s="2" t="inlineStr">
        <is>
          <t>iorta TechNXT – proposal to Insurans Islam Family Takaful Sendirian Berhad – October 2026</t>
        </is>
      </c>
    </row>
    <row r="4" ht="26" customHeight="1">
      <c r="A4" s="12" t="inlineStr">
        <is>
          <t>Sizing as in the Solution Architecture (Infrastructure Sizing). Costs are indicative one-time amounts if capacity is provisioned new, for IIFT's budgeting; they are lower where existing IITH virtualisation, storage, backup and security capacity is reused. They are not part of iorta's fees.</t>
        </is>
      </c>
    </row>
    <row r="6" ht="32" customHeight="1">
      <c r="A6" s="6" t="inlineStr">
        <is>
          <t>Environment</t>
        </is>
      </c>
      <c r="B6" s="6" t="inlineStr">
        <is>
          <t>Server / item</t>
        </is>
      </c>
      <c r="C6" s="6" t="inlineStr">
        <is>
          <t>Qty</t>
        </is>
      </c>
      <c r="D6" s="6" t="inlineStr">
        <is>
          <t>vCPU</t>
        </is>
      </c>
      <c r="E6" s="6" t="inlineStr">
        <is>
          <t>RAM (GB)</t>
        </is>
      </c>
      <c r="F6" s="6" t="inlineStr">
        <is>
          <t>Storage</t>
        </is>
      </c>
      <c r="G6" s="6" t="inlineStr">
        <is>
          <t>Software</t>
        </is>
      </c>
      <c r="H6" s="6" t="inlineStr">
        <is>
          <t>OS licence</t>
        </is>
      </c>
      <c r="I6" s="6" t="inlineStr">
        <is>
          <t>Total vCPU</t>
        </is>
      </c>
      <c r="J6" s="6" t="inlineStr">
        <is>
          <t>Unit cost low (B$)</t>
        </is>
      </c>
      <c r="K6" s="6" t="inlineStr">
        <is>
          <t>Unit cost high (B$)</t>
        </is>
      </c>
      <c r="L6" s="6" t="inlineStr">
        <is>
          <t>Total low (B$)</t>
        </is>
      </c>
      <c r="M6" s="6" t="inlineStr">
        <is>
          <t>Total high (B$)</t>
        </is>
      </c>
      <c r="N6" s="6" t="inlineStr">
        <is>
          <t>Notes</t>
        </is>
      </c>
    </row>
    <row r="7">
      <c r="A7" s="7" t="inlineStr">
        <is>
          <t>Production</t>
        </is>
      </c>
      <c r="B7" s="7" t="inlineStr">
        <is>
          <t>WAF / load balancer</t>
        </is>
      </c>
      <c r="C7" s="13" t="n">
        <v>2</v>
      </c>
      <c r="D7" s="13" t="n">
        <v>2</v>
      </c>
      <c r="E7" s="13" t="n">
        <v>4</v>
      </c>
      <c r="F7" s="7" t="inlineStr">
        <is>
          <t>–</t>
        </is>
      </c>
      <c r="G7" s="7" t="inlineStr">
        <is>
          <t>IITH appliance or HAProxy/nginx pair</t>
        </is>
      </c>
      <c r="H7" s="13" t="inlineStr">
        <is>
          <t>No</t>
        </is>
      </c>
      <c r="I7" s="13">
        <f>C7*D7</f>
        <v/>
      </c>
      <c r="J7" s="8" t="n">
        <v>0</v>
      </c>
      <c r="K7" s="8" t="n">
        <v>1000</v>
      </c>
      <c r="L7" s="8">
        <f>C7*J7</f>
        <v/>
      </c>
      <c r="M7" s="8">
        <f>C7*K7</f>
        <v/>
      </c>
      <c r="N7" s="7" t="inlineStr">
        <is>
          <t>Quantity: 2 (or existing). B$0 where the IITH WAF / F5 is reused (recommended)</t>
        </is>
      </c>
    </row>
    <row r="8">
      <c r="A8" s="14" t="inlineStr">
        <is>
          <t>Production</t>
        </is>
      </c>
      <c r="B8" s="14" t="inlineStr">
        <is>
          <t>Application VM</t>
        </is>
      </c>
      <c r="C8" s="15" t="n">
        <v>2</v>
      </c>
      <c r="D8" s="15" t="n">
        <v>4</v>
      </c>
      <c r="E8" s="15" t="n">
        <v>8</v>
      </c>
      <c r="F8" s="14" t="inlineStr">
        <is>
          <t>100 GB</t>
        </is>
      </c>
      <c r="G8" s="14" t="inlineStr">
        <is>
          <t>Linux, Docker Engine; web, api, clamav containers</t>
        </is>
      </c>
      <c r="H8" s="15" t="inlineStr">
        <is>
          <t>Yes</t>
        </is>
      </c>
      <c r="I8" s="15">
        <f>C8*D8</f>
        <v/>
      </c>
      <c r="J8" s="16" t="n">
        <v>1500</v>
      </c>
      <c r="K8" s="16" t="n">
        <v>3000</v>
      </c>
      <c r="L8" s="16">
        <f>C8*J8</f>
        <v/>
      </c>
      <c r="M8" s="16">
        <f>C8*K8</f>
        <v/>
      </c>
      <c r="N8" s="14" t="inlineStr"/>
    </row>
    <row r="9">
      <c r="A9" s="7" t="inlineStr">
        <is>
          <t>Production</t>
        </is>
      </c>
      <c r="B9" s="7" t="inlineStr">
        <is>
          <t>Database VM</t>
        </is>
      </c>
      <c r="C9" s="13" t="n">
        <v>2</v>
      </c>
      <c r="D9" s="13" t="n">
        <v>4</v>
      </c>
      <c r="E9" s="13" t="n">
        <v>16</v>
      </c>
      <c r="F9" s="7" t="inlineStr">
        <is>
          <t>200 GB SSD</t>
        </is>
      </c>
      <c r="G9" s="7" t="inlineStr">
        <is>
          <t>PostgreSQL 16 primary and hot standby, pgBackRest</t>
        </is>
      </c>
      <c r="H9" s="13" t="inlineStr">
        <is>
          <t>Yes</t>
        </is>
      </c>
      <c r="I9" s="13">
        <f>C9*D9</f>
        <v/>
      </c>
      <c r="J9" s="8" t="n">
        <v>2500</v>
      </c>
      <c r="K9" s="8" t="n">
        <v>4500</v>
      </c>
      <c r="L9" s="8">
        <f>C9*J9</f>
        <v/>
      </c>
      <c r="M9" s="8">
        <f>C9*K9</f>
        <v/>
      </c>
      <c r="N9" s="7" t="inlineStr"/>
    </row>
    <row r="10">
      <c r="A10" s="14" t="inlineStr">
        <is>
          <t>Production</t>
        </is>
      </c>
      <c r="B10" s="14" t="inlineStr">
        <is>
          <t>Document store</t>
        </is>
      </c>
      <c r="C10" s="15" t="n">
        <v>1</v>
      </c>
      <c r="D10" s="15" t="n"/>
      <c r="E10" s="15" t="n"/>
      <c r="F10" s="14" t="inlineStr">
        <is>
          <t>500 GB</t>
        </is>
      </c>
      <c r="G10" s="14" t="inlineStr">
        <is>
          <t>NFS export, encrypted volume</t>
        </is>
      </c>
      <c r="H10" s="15" t="inlineStr">
        <is>
          <t>No</t>
        </is>
      </c>
      <c r="I10" s="15" t="n"/>
      <c r="J10" s="16" t="n">
        <v>1000</v>
      </c>
      <c r="K10" s="16" t="n">
        <v>2000</v>
      </c>
      <c r="L10" s="16">
        <f>C10*J10</f>
        <v/>
      </c>
      <c r="M10" s="16">
        <f>C10*K10</f>
        <v/>
      </c>
      <c r="N10" s="14" t="inlineStr">
        <is>
          <t xml:space="preserve">Quantity: 1 share. </t>
        </is>
      </c>
    </row>
    <row r="11">
      <c r="A11" s="7" t="inlineStr">
        <is>
          <t>Production</t>
        </is>
      </c>
      <c r="B11" s="7" t="inlineStr">
        <is>
          <t>Backup repository</t>
        </is>
      </c>
      <c r="C11" s="13" t="n">
        <v>1</v>
      </c>
      <c r="D11" s="13" t="n"/>
      <c r="E11" s="13" t="n"/>
      <c r="F11" s="7" t="inlineStr">
        <is>
          <t>1 TB</t>
        </is>
      </c>
      <c r="G11" s="7" t="inlineStr">
        <is>
          <t>pgBackRest repository, document backups</t>
        </is>
      </c>
      <c r="H11" s="13" t="inlineStr">
        <is>
          <t>No</t>
        </is>
      </c>
      <c r="I11" s="13" t="n"/>
      <c r="J11" s="8" t="n">
        <v>1500</v>
      </c>
      <c r="K11" s="8" t="n">
        <v>3000</v>
      </c>
      <c r="L11" s="8">
        <f>C11*J11</f>
        <v/>
      </c>
      <c r="M11" s="8">
        <f>C11*K11</f>
        <v/>
      </c>
      <c r="N11" s="7" t="inlineStr">
        <is>
          <t>Lower where IITH backup capacity is reused</t>
        </is>
      </c>
    </row>
    <row r="12">
      <c r="A12" s="14" t="inlineStr">
        <is>
          <t>Production</t>
        </is>
      </c>
      <c r="B12" s="14" t="inlineStr">
        <is>
          <t>Monitoring</t>
        </is>
      </c>
      <c r="C12" s="15" t="n">
        <v>1</v>
      </c>
      <c r="D12" s="15" t="n">
        <v>2</v>
      </c>
      <c r="E12" s="15" t="n">
        <v>4</v>
      </c>
      <c r="F12" s="14" t="inlineStr">
        <is>
          <t>100 GB</t>
        </is>
      </c>
      <c r="G12" s="14" t="inlineStr">
        <is>
          <t>Prometheus, Grafana, log collector</t>
        </is>
      </c>
      <c r="H12" s="15" t="inlineStr">
        <is>
          <t>Yes</t>
        </is>
      </c>
      <c r="I12" s="15">
        <f>C12*D12</f>
        <v/>
      </c>
      <c r="J12" s="16" t="n">
        <v>0</v>
      </c>
      <c r="K12" s="16" t="n">
        <v>1500</v>
      </c>
      <c r="L12" s="16">
        <f>C12*J12</f>
        <v/>
      </c>
      <c r="M12" s="16">
        <f>C12*K12</f>
        <v/>
      </c>
      <c r="N12" s="14" t="inlineStr">
        <is>
          <t>Quantity: 1 (or existing). B$0 where IITH monitoring is reused</t>
        </is>
      </c>
    </row>
    <row r="13">
      <c r="A13" s="7" t="inlineStr">
        <is>
          <t>Non-production</t>
        </is>
      </c>
      <c r="B13" s="7" t="inlineStr">
        <is>
          <t>SIT</t>
        </is>
      </c>
      <c r="C13" s="13" t="n">
        <v>1</v>
      </c>
      <c r="D13" s="13" t="n">
        <v>4</v>
      </c>
      <c r="E13" s="13" t="n">
        <v>16</v>
      </c>
      <c r="F13" s="7" t="inlineStr">
        <is>
          <t>200 GB</t>
        </is>
      </c>
      <c r="G13" s="7" t="inlineStr">
        <is>
          <t>Compose: web, api, clamav, PostgreSQL</t>
        </is>
      </c>
      <c r="H13" s="13" t="inlineStr">
        <is>
          <t>Yes</t>
        </is>
      </c>
      <c r="I13" s="13">
        <f>C13*D13</f>
        <v/>
      </c>
      <c r="J13" s="8" t="n">
        <v>2000</v>
      </c>
      <c r="K13" s="8" t="n">
        <v>3500</v>
      </c>
      <c r="L13" s="8">
        <f>C13*J13</f>
        <v/>
      </c>
      <c r="M13" s="8">
        <f>C13*K13</f>
        <v/>
      </c>
      <c r="N13" s="7" t="inlineStr"/>
    </row>
    <row r="14">
      <c r="A14" s="14" t="inlineStr">
        <is>
          <t>Non-production</t>
        </is>
      </c>
      <c r="B14" s="14" t="inlineStr">
        <is>
          <t>UAT</t>
        </is>
      </c>
      <c r="C14" s="15" t="n">
        <v>1</v>
      </c>
      <c r="D14" s="15" t="n">
        <v>4</v>
      </c>
      <c r="E14" s="15" t="n">
        <v>16</v>
      </c>
      <c r="F14" s="14" t="inlineStr">
        <is>
          <t>200 GB</t>
        </is>
      </c>
      <c r="G14" s="14" t="inlineStr">
        <is>
          <t>Compose: web, api, clamav, PostgreSQL</t>
        </is>
      </c>
      <c r="H14" s="15" t="inlineStr">
        <is>
          <t>Yes</t>
        </is>
      </c>
      <c r="I14" s="15">
        <f>C14*D14</f>
        <v/>
      </c>
      <c r="J14" s="16" t="n">
        <v>2000</v>
      </c>
      <c r="K14" s="16" t="n">
        <v>3500</v>
      </c>
      <c r="L14" s="16">
        <f>C14*J14</f>
        <v/>
      </c>
      <c r="M14" s="16">
        <f>C14*K14</f>
        <v/>
      </c>
      <c r="N14" s="14" t="inlineStr"/>
    </row>
    <row r="15">
      <c r="A15" s="7" t="inlineStr">
        <is>
          <t>Non-production</t>
        </is>
      </c>
      <c r="B15" s="7" t="inlineStr">
        <is>
          <t>DEV</t>
        </is>
      </c>
      <c r="C15" s="13" t="n">
        <v>0</v>
      </c>
      <c r="D15" s="13" t="n"/>
      <c r="E15" s="13" t="n"/>
      <c r="F15" s="7" t="inlineStr">
        <is>
          <t>–</t>
        </is>
      </c>
      <c r="G15" s="7" t="inlineStr">
        <is>
          <t>Hosted by iorta during the project and support</t>
        </is>
      </c>
      <c r="H15" s="13" t="inlineStr">
        <is>
          <t>No</t>
        </is>
      </c>
      <c r="I15" s="13" t="n"/>
      <c r="J15" s="8" t="n">
        <v>0</v>
      </c>
      <c r="K15" s="8" t="n">
        <v>0</v>
      </c>
      <c r="L15" s="8">
        <f>C15*J15</f>
        <v/>
      </c>
      <c r="M15" s="8">
        <f>C15*K15</f>
        <v/>
      </c>
      <c r="N15" s="7" t="inlineStr">
        <is>
          <t>Quantity: Not required. No IIFT infrastructure needed</t>
        </is>
      </c>
    </row>
    <row r="16">
      <c r="A16" s="14" t="inlineStr">
        <is>
          <t>DR site</t>
        </is>
      </c>
      <c r="B16" s="14" t="inlineStr">
        <is>
          <t>Application VM</t>
        </is>
      </c>
      <c r="C16" s="15" t="n">
        <v>1</v>
      </c>
      <c r="D16" s="15" t="n">
        <v>4</v>
      </c>
      <c r="E16" s="15" t="n">
        <v>8</v>
      </c>
      <c r="F16" s="14" t="inlineStr">
        <is>
          <t>100 GB</t>
        </is>
      </c>
      <c r="G16" s="14" t="inlineStr">
        <is>
          <t>Cold standby, same images</t>
        </is>
      </c>
      <c r="H16" s="15" t="inlineStr">
        <is>
          <t>Yes</t>
        </is>
      </c>
      <c r="I16" s="15">
        <f>C16*D16</f>
        <v/>
      </c>
      <c r="J16" s="16" t="n">
        <v>1500</v>
      </c>
      <c r="K16" s="16" t="n">
        <v>3000</v>
      </c>
      <c r="L16" s="16">
        <f>C16*J16</f>
        <v/>
      </c>
      <c r="M16" s="16">
        <f>C16*K16</f>
        <v/>
      </c>
      <c r="N16" s="14" t="inlineStr"/>
    </row>
    <row r="17">
      <c r="A17" s="7" t="inlineStr">
        <is>
          <t>DR site</t>
        </is>
      </c>
      <c r="B17" s="7" t="inlineStr">
        <is>
          <t>Database VM</t>
        </is>
      </c>
      <c r="C17" s="13" t="n">
        <v>1</v>
      </c>
      <c r="D17" s="13" t="n">
        <v>4</v>
      </c>
      <c r="E17" s="13" t="n">
        <v>16</v>
      </c>
      <c r="F17" s="7" t="inlineStr">
        <is>
          <t>200 GB SSD</t>
        </is>
      </c>
      <c r="G17" s="7" t="inlineStr">
        <is>
          <t>Asynchronous replica</t>
        </is>
      </c>
      <c r="H17" s="13" t="inlineStr">
        <is>
          <t>Yes</t>
        </is>
      </c>
      <c r="I17" s="13">
        <f>C17*D17</f>
        <v/>
      </c>
      <c r="J17" s="8" t="n">
        <v>2500</v>
      </c>
      <c r="K17" s="8" t="n">
        <v>4500</v>
      </c>
      <c r="L17" s="8">
        <f>C17*J17</f>
        <v/>
      </c>
      <c r="M17" s="8">
        <f>C17*K17</f>
        <v/>
      </c>
      <c r="N17" s="7" t="inlineStr"/>
    </row>
    <row r="18">
      <c r="A18" s="14" t="inlineStr">
        <is>
          <t>DR site</t>
        </is>
      </c>
      <c r="B18" s="14" t="inlineStr">
        <is>
          <t>Document and backup copies</t>
        </is>
      </c>
      <c r="C18" s="15" t="n">
        <v>1</v>
      </c>
      <c r="D18" s="15" t="n"/>
      <c r="E18" s="15" t="n"/>
      <c r="F18" s="14" t="inlineStr">
        <is>
          <t>500 GB + 1 TB</t>
        </is>
      </c>
      <c r="G18" s="14" t="inlineStr">
        <is>
          <t>rsync target, backup copy</t>
        </is>
      </c>
      <c r="H18" s="15" t="inlineStr">
        <is>
          <t>No</t>
        </is>
      </c>
      <c r="I18" s="15" t="n"/>
      <c r="J18" s="16" t="n">
        <v>2000</v>
      </c>
      <c r="K18" s="16" t="n">
        <v>4000</v>
      </c>
      <c r="L18" s="16">
        <f>C18*J18</f>
        <v/>
      </c>
      <c r="M18" s="16">
        <f>C18*K18</f>
        <v/>
      </c>
      <c r="N18" s="14" t="inlineStr"/>
    </row>
    <row r="19">
      <c r="A19" s="9" t="inlineStr">
        <is>
          <t>Total</t>
        </is>
      </c>
      <c r="B19" s="9" t="inlineStr"/>
      <c r="C19" s="17">
        <f>SUM(C7:C18)</f>
        <v/>
      </c>
      <c r="D19" s="9" t="inlineStr"/>
      <c r="E19" s="17">
        <f>SUM(E7:E18)</f>
        <v/>
      </c>
      <c r="F19" s="9" t="inlineStr"/>
      <c r="G19" s="9" t="inlineStr"/>
      <c r="H19" s="9" t="inlineStr"/>
      <c r="I19" s="17">
        <f>SUM(I7:I18)</f>
        <v/>
      </c>
      <c r="J19" s="9" t="inlineStr"/>
      <c r="K19" s="9" t="inlineStr"/>
      <c r="L19" s="10">
        <f>SUM(L7:L18)</f>
        <v/>
      </c>
      <c r="M19" s="10">
        <f>SUM(M7:M18)</f>
        <v/>
      </c>
      <c r="N19" s="9" t="inlineStr">
        <is>
          <t>Indicative one-time cost, IIFT's own procurement</t>
        </is>
      </c>
    </row>
    <row r="21" ht="18" customHeight="1">
      <c r="A21" s="5" t="inlineStr">
        <is>
          <t>Operating system</t>
        </is>
      </c>
    </row>
    <row r="22">
      <c r="A22" s="7" t="inlineStr">
        <is>
          <t>VMs needing an OS licence</t>
        </is>
      </c>
      <c r="B22" s="7" t="inlineStr"/>
      <c r="C22" s="13">
        <f>C8+C9+C12+C13+C14+C16+C17</f>
        <v/>
      </c>
      <c r="D22" s="7" t="inlineStr"/>
      <c r="E22" s="7" t="inlineStr"/>
      <c r="F22" s="7" t="inlineStr"/>
      <c r="G22" s="7" t="inlineStr"/>
      <c r="H22" s="7" t="inlineStr"/>
      <c r="I22" s="7" t="inlineStr"/>
      <c r="J22" s="7" t="inlineStr"/>
      <c r="K22" s="7" t="inlineStr"/>
      <c r="L22" s="7" t="inlineStr"/>
      <c r="M22" s="7" t="inlineStr"/>
      <c r="N22" s="7" t="inlineStr">
        <is>
          <t>Application, database, monitoring, SIT, UAT and DR VMs</t>
        </is>
      </c>
    </row>
    <row r="23">
      <c r="A23" s="7" t="inlineStr">
        <is>
          <t>Ubuntu Server 24.04 LTS</t>
        </is>
      </c>
      <c r="B23" s="7" t="inlineStr">
        <is>
          <t>Recommended</t>
        </is>
      </c>
      <c r="C23" s="7" t="n"/>
      <c r="D23" s="7" t="inlineStr"/>
      <c r="E23" s="7" t="inlineStr"/>
      <c r="F23" s="7" t="inlineStr"/>
      <c r="G23" s="7" t="inlineStr">
        <is>
          <t>No licence fee</t>
        </is>
      </c>
      <c r="H23" s="7" t="inlineStr"/>
      <c r="I23" s="7" t="inlineStr"/>
      <c r="J23" s="8" t="n">
        <v>0</v>
      </c>
      <c r="K23" s="8" t="n">
        <v>0</v>
      </c>
      <c r="L23" s="8">
        <f>C22*J23</f>
        <v/>
      </c>
      <c r="M23" s="8">
        <f>C22*K23</f>
        <v/>
      </c>
      <c r="N23" s="7" t="inlineStr">
        <is>
          <t>Optional Ubuntu Pro support not required</t>
        </is>
      </c>
    </row>
    <row r="24">
      <c r="A24" s="7" t="inlineStr">
        <is>
          <t>RHEL 9 subscriptions</t>
        </is>
      </c>
      <c r="B24" s="7" t="inlineStr">
        <is>
          <t>Optional, per VM per year</t>
        </is>
      </c>
      <c r="C24" s="7" t="n"/>
      <c r="D24" s="7" t="inlineStr"/>
      <c r="E24" s="7" t="inlineStr"/>
      <c r="F24" s="7" t="inlineStr"/>
      <c r="G24" s="7" t="inlineStr">
        <is>
          <t>Only if IIFT standardises on RHEL</t>
        </is>
      </c>
      <c r="H24" s="7" t="inlineStr"/>
      <c r="I24" s="7" t="inlineStr"/>
      <c r="J24" s="8" t="n">
        <v>500</v>
      </c>
      <c r="K24" s="8" t="n">
        <v>1200</v>
      </c>
      <c r="L24" s="8">
        <f>C22*J24</f>
        <v/>
      </c>
      <c r="M24" s="8">
        <f>C22*K24</f>
        <v/>
      </c>
      <c r="N24" s="7" t="inlineStr">
        <is>
          <t>Annual; IIFT procures</t>
        </is>
      </c>
    </row>
    <row r="26" ht="18" customHeight="1">
      <c r="A26" s="5" t="inlineStr">
        <is>
          <t>Reused IITH services (no new procurement expected)</t>
        </is>
      </c>
    </row>
    <row r="27" ht="13" customHeight="1">
      <c r="A27" s="11" t="inlineStr">
        <is>
          <t>•  Virtualisation platform, network, firewall, DNS and the DMZ.</t>
        </is>
      </c>
    </row>
    <row r="28" ht="13" customHeight="1">
      <c r="A28" s="11" t="inlineStr">
        <is>
          <t>•  WAF / load balancer (F5 or equivalent): reuse recommended; otherwise an HAProxy/nginx pair on two small VMs.</t>
        </is>
      </c>
    </row>
    <row r="29" ht="13" customHeight="1">
      <c r="A29" s="11" t="inlineStr">
        <is>
          <t>•  Enterprise backup platform and off-site copies; pgBackRest (open source) handles PostgreSQL backups.</t>
        </is>
      </c>
    </row>
    <row r="30" ht="13" customHeight="1">
      <c r="A30" s="11" t="inlineStr">
        <is>
          <t>•  SIEM and infrastructure monitoring; iorta configures log and metric forwarding.</t>
        </is>
      </c>
    </row>
    <row r="31" ht="13" customHeight="1">
      <c r="A31" s="11" t="inlineStr">
        <is>
          <t>•  DEV environment: hosted by iorta, so IIFT provides none.</t>
        </is>
      </c>
    </row>
  </sheetData>
  <mergeCells count="6">
    <mergeCell ref="A27:N27"/>
    <mergeCell ref="A31:N31"/>
    <mergeCell ref="A4:N4"/>
    <mergeCell ref="A30:N30"/>
    <mergeCell ref="A29:N29"/>
    <mergeCell ref="A28:N28"/>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3.xml><?xml version="1.0" encoding="utf-8"?>
<worksheet xmlns="http://schemas.openxmlformats.org/spreadsheetml/2006/main">
  <sheetPr>
    <tabColor rgb="00F58220"/>
    <outlinePr summaryBelow="1" summaryRight="1"/>
    <pageSetUpPr fitToPage="1"/>
  </sheetPr>
  <dimension ref="A1:G22"/>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32" customWidth="1" min="3" max="3"/>
    <col width="54" customWidth="1" min="4" max="4"/>
    <col width="14" customWidth="1" min="5" max="5"/>
    <col width="14" customWidth="1" min="6" max="6"/>
    <col width="44" customWidth="1" min="7" max="7"/>
  </cols>
  <sheetData>
    <row r="1" ht="22" customHeight="1">
      <c r="A1" s="1" t="inlineStr">
        <is>
          <t>Cloud services for Option B – recharged at cost (AWS Asia Pacific (Malaysia) or Azure Malaysia West)</t>
        </is>
      </c>
    </row>
    <row r="2">
      <c r="A2" s="2" t="inlineStr">
        <is>
          <t>iorta TechNXT – proposal to Insurans Islam Family Takaful Sendirian Berhad – October 2026</t>
        </is>
      </c>
    </row>
    <row r="4" ht="26" customHeight="1">
      <c r="A4" s="12" t="inlineStr">
        <is>
          <t>Estimate for budgeting. iorta recharges the provider's charges monthly in arrears at cost as a disbursement, with the provider invoice attached and no mark-up, outside the fees to which WHT applies. Alternatively IIFT holds the cloud account in its own name and pays the provider directly. The one-off cloud set-up (B$ 15,000) and iorta's managed services are fees in the pricing workbook.</t>
        </is>
      </c>
    </row>
    <row r="6" ht="30" customHeight="1">
      <c r="A6" s="6" t="inlineStr">
        <is>
          <t>No</t>
        </is>
      </c>
      <c r="B6" s="6" t="inlineStr">
        <is>
          <t>Service</t>
        </is>
      </c>
      <c r="C6" s="6" t="inlineStr">
        <is>
          <t>Purpose</t>
        </is>
      </c>
      <c r="D6" s="6" t="inlineStr">
        <is>
          <t>Reference sizing</t>
        </is>
      </c>
      <c r="E6" s="6" t="inlineStr">
        <is>
          <t>B$ per month</t>
        </is>
      </c>
      <c r="F6" s="6" t="inlineStr">
        <is>
          <t>B$ per year</t>
        </is>
      </c>
      <c r="G6" s="6" t="inlineStr">
        <is>
          <t>Billing basis</t>
        </is>
      </c>
    </row>
    <row r="7">
      <c r="A7" s="13" t="n">
        <v>1</v>
      </c>
      <c r="B7" s="7" t="inlineStr">
        <is>
          <t>Container compute, 2 tasks across 2 availability zones</t>
        </is>
      </c>
      <c r="C7" s="7" t="inlineStr">
        <is>
          <t>Portal, back-office and API</t>
        </is>
      </c>
      <c r="D7" s="7" t="inlineStr">
        <is>
          <t>2 tasks × (1 vCPU, 2 GB) incl. ClamAV sidecar; scales to 4 tasks</t>
        </is>
      </c>
      <c r="E7" s="8" t="n">
        <v>260</v>
      </c>
      <c r="F7" s="8">
        <f>E7*12</f>
        <v/>
      </c>
      <c r="G7" s="7" t="inlineStr">
        <is>
          <t>At cost as a disbursement (provider invoice attached, no mark-up), or paid by IIFT directly</t>
        </is>
      </c>
    </row>
    <row r="8">
      <c r="A8" s="15" t="n">
        <v>2</v>
      </c>
      <c r="B8" s="14" t="inlineStr">
        <is>
          <t>Managed PostgreSQL, Multi-AZ, 100 GB, automated backups</t>
        </is>
      </c>
      <c r="C8" s="14" t="inlineStr">
        <is>
          <t>Database and point-in-time recovery</t>
        </is>
      </c>
      <c r="D8" s="14" t="inlineStr">
        <is>
          <t>db.t4g.large (2 vCPU, 8 GB), Multi-AZ, 100 GB gp3, 35-day backups and PITR</t>
        </is>
      </c>
      <c r="E8" s="16" t="n">
        <v>420</v>
      </c>
      <c r="F8" s="16">
        <f>E8*12</f>
        <v/>
      </c>
      <c r="G8" s="14" t="inlineStr">
        <is>
          <t>At cost as a disbursement (provider invoice attached, no mark-up), or paid by IIFT directly</t>
        </is>
      </c>
    </row>
    <row r="9">
      <c r="A9" s="13" t="n">
        <v>3</v>
      </c>
      <c r="B9" s="7" t="inlineStr">
        <is>
          <t>Application load balancer and web application firewall</t>
        </is>
      </c>
      <c r="C9" s="7" t="inlineStr">
        <is>
          <t>TLS termination, OWASP rules</t>
        </is>
      </c>
      <c r="D9" s="7" t="inlineStr">
        <is>
          <t>1 load balancer; WAF with managed OWASP rule sets; managed TLS certificate</t>
        </is>
      </c>
      <c r="E9" s="8" t="n">
        <v>130</v>
      </c>
      <c r="F9" s="8">
        <f>E9*12</f>
        <v/>
      </c>
      <c r="G9" s="7" t="inlineStr">
        <is>
          <t>At cost as a disbursement (provider invoice attached, no mark-up), or paid by IIFT directly</t>
        </is>
      </c>
    </row>
    <row r="10">
      <c r="A10" s="15" t="n">
        <v>4</v>
      </c>
      <c r="B10" s="14" t="inlineStr">
        <is>
          <t>NAT gateway and data transfer</t>
        </is>
      </c>
      <c r="C10" s="14" t="inlineStr">
        <is>
          <t>Outbound integration and updates</t>
        </is>
      </c>
      <c r="D10" s="14" t="inlineStr">
        <is>
          <t>NAT gateway, site-to-site VPN to the IITH data centre, outbound data</t>
        </is>
      </c>
      <c r="E10" s="16" t="n">
        <v>90</v>
      </c>
      <c r="F10" s="16">
        <f>E10*12</f>
        <v/>
      </c>
      <c r="G10" s="14" t="inlineStr">
        <is>
          <t>At cost as a disbursement (provider invoice attached, no mark-up), or paid by IIFT directly</t>
        </is>
      </c>
    </row>
    <row r="11">
      <c r="A11" s="13" t="n">
        <v>5</v>
      </c>
      <c r="B11" s="7" t="inlineStr">
        <is>
          <t>Object storage (encrypted) and cross-region backup copies</t>
        </is>
      </c>
      <c r="C11" s="7" t="inlineStr">
        <is>
          <t>Documents, backups, DR copies</t>
        </is>
      </c>
      <c r="D11" s="7" t="inlineStr">
        <is>
          <t>Shared file storage up to 100 GB; about 200 GB object storage; cross-region copy</t>
        </is>
      </c>
      <c r="E11" s="8" t="n">
        <v>70</v>
      </c>
      <c r="F11" s="8">
        <f>E11*12</f>
        <v/>
      </c>
      <c r="G11" s="7" t="inlineStr">
        <is>
          <t>At cost as a disbursement (provider invoice attached, no mark-up), or paid by IIFT directly</t>
        </is>
      </c>
    </row>
    <row r="12">
      <c r="A12" s="15" t="n">
        <v>6</v>
      </c>
      <c r="B12" s="14" t="inlineStr">
        <is>
          <t>Logging, metrics, alarms and threat detection</t>
        </is>
      </c>
      <c r="C12" s="14" t="inlineStr">
        <is>
          <t>Monitoring and security</t>
        </is>
      </c>
      <c r="D12" s="14" t="inlineStr">
        <is>
          <t>Log retention 90 days, metrics, alarms, threat detection</t>
        </is>
      </c>
      <c r="E12" s="16" t="n">
        <v>70</v>
      </c>
      <c r="F12" s="16">
        <f>E12*12</f>
        <v/>
      </c>
      <c r="G12" s="14" t="inlineStr">
        <is>
          <t>At cost as a disbursement (provider invoice attached, no mark-up), or paid by IIFT directly</t>
        </is>
      </c>
    </row>
    <row r="13">
      <c r="A13" s="13" t="n">
        <v>7</v>
      </c>
      <c r="B13" s="7" t="inlineStr">
        <is>
          <t>Secrets and key management</t>
        </is>
      </c>
      <c r="C13" s="7" t="inlineStr">
        <is>
          <t>Credentials and encryption keys</t>
        </is>
      </c>
      <c r="D13" s="7" t="inlineStr">
        <is>
          <t>Secrets store and encryption keys held in IIFT's account</t>
        </is>
      </c>
      <c r="E13" s="8" t="n">
        <v>20</v>
      </c>
      <c r="F13" s="8">
        <f>E13*12</f>
        <v/>
      </c>
      <c r="G13" s="7" t="inlineStr">
        <is>
          <t>At cost as a disbursement (provider invoice attached, no mark-up), or paid by IIFT directly</t>
        </is>
      </c>
    </row>
    <row r="14">
      <c r="A14" s="15" t="n">
        <v>8</v>
      </c>
      <c r="B14" s="14" t="inlineStr">
        <is>
          <t>UAT environment, scaled down, stopped out of hours</t>
        </is>
      </c>
      <c r="C14" s="14" t="inlineStr">
        <is>
          <t>Non-production testing</t>
        </is>
      </c>
      <c r="D14" s="14" t="inlineStr">
        <is>
          <t>1 task and a single-AZ db.t4g.medium; stopped outside test periods</t>
        </is>
      </c>
      <c r="E14" s="16" t="n">
        <v>120</v>
      </c>
      <c r="F14" s="16">
        <f>E14*12</f>
        <v/>
      </c>
      <c r="G14" s="14" t="inlineStr">
        <is>
          <t>At cost as a disbursement (provider invoice attached, no mark-up), or paid by IIFT directly</t>
        </is>
      </c>
    </row>
    <row r="15">
      <c r="A15" s="13" t="n">
        <v>9</v>
      </c>
      <c r="B15" s="7" t="inlineStr">
        <is>
          <t>DR environment, pilot light in a second region</t>
        </is>
      </c>
      <c r="C15" s="7" t="inlineStr">
        <is>
          <t>Database replica and standby images</t>
        </is>
      </c>
      <c r="D15" s="7" t="inlineStr">
        <is>
          <t>Cross-region database replica or snapshots and standby images</t>
        </is>
      </c>
      <c r="E15" s="8" t="n">
        <v>150</v>
      </c>
      <c r="F15" s="8">
        <f>E15*12</f>
        <v/>
      </c>
      <c r="G15" s="7" t="inlineStr">
        <is>
          <t>At cost as a disbursement (provider invoice attached, no mark-up), or paid by IIFT directly</t>
        </is>
      </c>
    </row>
    <row r="16">
      <c r="A16" s="9" t="inlineStr"/>
      <c r="B16" s="9" t="inlineStr">
        <is>
          <t>Total, production run</t>
        </is>
      </c>
      <c r="C16" s="9" t="inlineStr"/>
      <c r="D16" s="9" t="inlineStr"/>
      <c r="E16" s="10">
        <f>SUM(E7:E15)</f>
        <v/>
      </c>
      <c r="F16" s="10">
        <f>SUM(F7:F15)</f>
        <v/>
      </c>
      <c r="G16" s="9" t="inlineStr"/>
    </row>
    <row r="17">
      <c r="A17" s="7" t="inlineStr"/>
      <c r="B17" s="7" t="inlineStr">
        <is>
          <t>Project environments (DEV, SIT, UAT) before go-live</t>
        </is>
      </c>
      <c r="C17" s="7" t="inlineStr">
        <is>
          <t>Implementation period</t>
        </is>
      </c>
      <c r="D17" s="7" t="inlineStr">
        <is>
          <t>Scaled down, 5 months</t>
        </is>
      </c>
      <c r="E17" s="8" t="n">
        <v>300</v>
      </c>
      <c r="F17" s="8">
        <f>E17*5</f>
        <v/>
      </c>
      <c r="G17" s="7" t="inlineStr">
        <is>
          <t>One-off total for the project period</t>
        </is>
      </c>
    </row>
    <row r="18">
      <c r="A18" s="9" t="inlineStr"/>
      <c r="B18" s="9" t="inlineStr">
        <is>
          <t>Estimate, project plus five years</t>
        </is>
      </c>
      <c r="C18" s="9" t="inlineStr"/>
      <c r="D18" s="9" t="inlineStr"/>
      <c r="E18" s="9" t="n"/>
      <c r="F18" s="10">
        <f>F17+5*F16</f>
        <v/>
      </c>
      <c r="G18" s="9" t="inlineStr"/>
    </row>
    <row r="20" ht="13" customHeight="1">
      <c r="A20" s="11" t="inlineStr">
        <is>
          <t>•  Region: AWS Asia Pacific (Malaysia) ap-southeast-5 or Azure Malaysia West; DR copies in a second region subject to IIFT approval. A Brunei-hosted alternative can be priced on request.</t>
        </is>
      </c>
    </row>
    <row r="21" ht="13" customHeight="1">
      <c r="A21" s="11" t="inlineStr">
        <is>
          <t>•  Providers bill in USD; charges are converted to B$ at the bank selling rate on the provider's invoice date.</t>
        </is>
      </c>
    </row>
    <row r="22" ht="13" customHeight="1">
      <c r="A22" s="11" t="inlineStr">
        <is>
          <t>•  Budget alerts at 80% and 100% of the estimate; monthly cost report; quarterly right-sizing review.</t>
        </is>
      </c>
    </row>
  </sheetData>
  <mergeCells count="4">
    <mergeCell ref="A20:G20"/>
    <mergeCell ref="A21:G21"/>
    <mergeCell ref="A22:G22"/>
    <mergeCell ref="A4:G4"/>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4.xml><?xml version="1.0" encoding="utf-8"?>
<worksheet xmlns="http://schemas.openxmlformats.org/spreadsheetml/2006/main">
  <sheetPr>
    <tabColor rgb="00F58220"/>
    <outlinePr summaryBelow="1" summaryRight="1"/>
    <pageSetUpPr fitToPage="1"/>
  </sheetPr>
  <dimension ref="A1:F51"/>
  <sheetViews>
    <sheetView showGridLines="0" zoomScale="90" workbookViewId="0">
      <pane ySplit="5" topLeftCell="A6" activePane="bottomLeft" state="frozen"/>
      <selection pane="bottomLeft" activeCell="A1" sqref="A1"/>
    </sheetView>
  </sheetViews>
  <sheetFormatPr baseColWidth="8" defaultRowHeight="15"/>
  <cols>
    <col width="44" customWidth="1" min="1" max="1"/>
    <col width="22" customWidth="1" min="2" max="2"/>
    <col width="44" customWidth="1" min="3" max="3"/>
    <col width="30" customWidth="1" min="4" max="4"/>
    <col width="14" customWidth="1" min="5" max="5"/>
    <col width="34" customWidth="1" min="6" max="6"/>
  </cols>
  <sheetData>
    <row r="1" ht="22" customHeight="1">
      <c r="A1" s="1" t="inlineStr">
        <is>
          <t>Software components and licences</t>
        </is>
      </c>
    </row>
    <row r="2">
      <c r="A2" s="2" t="inlineStr">
        <is>
          <t>iorta TechNXT – proposal to Insurans Islam Family Takaful Sendirian Berhad – October 2026</t>
        </is>
      </c>
    </row>
    <row r="4" ht="13" customHeight="1">
      <c r="A4" s="12" t="inlineStr">
        <is>
          <t>Every runtime component of the solution. All are open source with no licence fee; the operating system is the only item with a paid choice (RHEL).</t>
        </is>
      </c>
    </row>
    <row r="6" ht="18" customHeight="1">
      <c r="A6" s="5" t="inlineStr">
        <is>
          <t>1. Runtime components</t>
        </is>
      </c>
    </row>
    <row r="7" ht="30" customHeight="1">
      <c r="A7" s="6" t="inlineStr">
        <is>
          <t>Component</t>
        </is>
      </c>
      <c r="B7" s="6" t="inlineStr">
        <is>
          <t>Version</t>
        </is>
      </c>
      <c r="C7" s="6" t="inlineStr">
        <is>
          <t>Role</t>
        </is>
      </c>
      <c r="D7" s="6" t="inlineStr">
        <is>
          <t>Licence</t>
        </is>
      </c>
      <c r="E7" s="6" t="inlineStr">
        <is>
          <t>Licence fee (B$)</t>
        </is>
      </c>
      <c r="F7" s="6" t="inlineStr">
        <is>
          <t>Treatment</t>
        </is>
      </c>
    </row>
    <row r="8">
      <c r="A8" s="7" t="inlineStr">
        <is>
          <t>Node.js</t>
        </is>
      </c>
      <c r="B8" s="7" t="inlineStr">
        <is>
          <t>22 LTS</t>
        </is>
      </c>
      <c r="C8" s="7" t="inlineStr">
        <is>
          <t>API runtime (inside the container image)</t>
        </is>
      </c>
      <c r="D8" s="7" t="inlineStr">
        <is>
          <t>MIT</t>
        </is>
      </c>
      <c r="E8" s="8" t="n">
        <v>0</v>
      </c>
      <c r="F8" s="7" t="inlineStr">
        <is>
          <t>Included in iorta fee</t>
        </is>
      </c>
    </row>
    <row r="9">
      <c r="A9" s="14" t="inlineStr">
        <is>
          <t>NestJS</t>
        </is>
      </c>
      <c r="B9" s="14" t="inlineStr">
        <is>
          <t>12</t>
        </is>
      </c>
      <c r="C9" s="14" t="inlineStr">
        <is>
          <t>API framework</t>
        </is>
      </c>
      <c r="D9" s="14" t="inlineStr">
        <is>
          <t>MIT</t>
        </is>
      </c>
      <c r="E9" s="16" t="n">
        <v>0</v>
      </c>
      <c r="F9" s="14" t="inlineStr">
        <is>
          <t>Included in iorta fee</t>
        </is>
      </c>
    </row>
    <row r="10">
      <c r="A10" s="7" t="inlineStr">
        <is>
          <t>Prisma ORM and PostgreSQL driver adapter</t>
        </is>
      </c>
      <c r="B10" s="7" t="inlineStr">
        <is>
          <t>7</t>
        </is>
      </c>
      <c r="C10" s="7" t="inlineStr">
        <is>
          <t>Data access and migrations</t>
        </is>
      </c>
      <c r="D10" s="7" t="inlineStr">
        <is>
          <t>Apache-2.0</t>
        </is>
      </c>
      <c r="E10" s="8" t="n">
        <v>0</v>
      </c>
      <c r="F10" s="7" t="inlineStr">
        <is>
          <t>Included in iorta fee</t>
        </is>
      </c>
    </row>
    <row r="11">
      <c r="A11" s="14" t="inlineStr">
        <is>
          <t>React and React DOM</t>
        </is>
      </c>
      <c r="B11" s="14" t="inlineStr">
        <is>
          <t>19</t>
        </is>
      </c>
      <c r="C11" s="14" t="inlineStr">
        <is>
          <t>Portal and back-office user interface</t>
        </is>
      </c>
      <c r="D11" s="14" t="inlineStr">
        <is>
          <t>MIT</t>
        </is>
      </c>
      <c r="E11" s="16" t="n">
        <v>0</v>
      </c>
      <c r="F11" s="14" t="inlineStr">
        <is>
          <t>Included in iorta fee</t>
        </is>
      </c>
    </row>
    <row r="12">
      <c r="A12" s="7" t="inlineStr">
        <is>
          <t>Ant Design and Ant Design Icons</t>
        </is>
      </c>
      <c r="B12" s="7" t="inlineStr">
        <is>
          <t>6</t>
        </is>
      </c>
      <c r="C12" s="7" t="inlineStr">
        <is>
          <t>UI component library</t>
        </is>
      </c>
      <c r="D12" s="7" t="inlineStr">
        <is>
          <t>MIT</t>
        </is>
      </c>
      <c r="E12" s="8" t="n">
        <v>0</v>
      </c>
      <c r="F12" s="7" t="inlineStr">
        <is>
          <t>Included in iorta fee</t>
        </is>
      </c>
    </row>
    <row r="13">
      <c r="A13" s="14" t="inlineStr">
        <is>
          <t>TanStack Query, React Router, Recharts, Day.js</t>
        </is>
      </c>
      <c r="B13" s="14" t="inlineStr">
        <is>
          <t>5 / 7 / 3 / 1</t>
        </is>
      </c>
      <c r="C13" s="14" t="inlineStr">
        <is>
          <t>UI data, routing, charts, dates</t>
        </is>
      </c>
      <c r="D13" s="14" t="inlineStr">
        <is>
          <t>MIT</t>
        </is>
      </c>
      <c r="E13" s="16" t="n">
        <v>0</v>
      </c>
      <c r="F13" s="14" t="inlineStr">
        <is>
          <t>Included in iorta fee</t>
        </is>
      </c>
    </row>
    <row r="14">
      <c r="A14" s="7" t="inlineStr">
        <is>
          <t>pdfkit, exceljs</t>
        </is>
      </c>
      <c r="B14" s="7" t="inlineStr">
        <is>
          <t>0.20 / 4.4</t>
        </is>
      </c>
      <c r="C14" s="7" t="inlineStr">
        <is>
          <t>PDF documents and Excel reports</t>
        </is>
      </c>
      <c r="D14" s="7" t="inlineStr">
        <is>
          <t>MIT</t>
        </is>
      </c>
      <c r="E14" s="8" t="n">
        <v>0</v>
      </c>
      <c r="F14" s="7" t="inlineStr">
        <is>
          <t>Included in iorta fee</t>
        </is>
      </c>
    </row>
    <row r="15">
      <c r="A15" s="14" t="inlineStr">
        <is>
          <t>Argon2 (@node-rs/argon2), helmet, express-session</t>
        </is>
      </c>
      <c r="B15" s="14" t="inlineStr">
        <is>
          <t>2 / 8 / 1</t>
        </is>
      </c>
      <c r="C15" s="14" t="inlineStr">
        <is>
          <t>Password hashing, security headers, sessions</t>
        </is>
      </c>
      <c r="D15" s="14" t="inlineStr">
        <is>
          <t>MIT</t>
        </is>
      </c>
      <c r="E15" s="16" t="n">
        <v>0</v>
      </c>
      <c r="F15" s="14" t="inlineStr">
        <is>
          <t>Included in iorta fee</t>
        </is>
      </c>
    </row>
    <row r="16">
      <c r="A16" s="7" t="inlineStr">
        <is>
          <t>pino, prom-client</t>
        </is>
      </c>
      <c r="B16" s="7" t="inlineStr">
        <is>
          <t>10 / 15</t>
        </is>
      </c>
      <c r="C16" s="7" t="inlineStr">
        <is>
          <t>Structured logs and metrics</t>
        </is>
      </c>
      <c r="D16" s="7" t="inlineStr">
        <is>
          <t>MIT / Apache-2.0</t>
        </is>
      </c>
      <c r="E16" s="8" t="n">
        <v>0</v>
      </c>
      <c r="F16" s="7" t="inlineStr">
        <is>
          <t>Included in iorta fee</t>
        </is>
      </c>
    </row>
    <row r="17">
      <c r="A17" s="14" t="inlineStr">
        <is>
          <t>ldapts, nodemailer</t>
        </is>
      </c>
      <c r="B17" s="14" t="inlineStr">
        <is>
          <t>9 / 10</t>
        </is>
      </c>
      <c r="C17" s="14" t="inlineStr">
        <is>
          <t>Active Directory and e-mail integration</t>
        </is>
      </c>
      <c r="D17" s="14" t="inlineStr">
        <is>
          <t>MIT / MIT-0</t>
        </is>
      </c>
      <c r="E17" s="16" t="n">
        <v>0</v>
      </c>
      <c r="F17" s="14" t="inlineStr">
        <is>
          <t>Included in iorta fee</t>
        </is>
      </c>
    </row>
    <row r="18">
      <c r="A18" s="7" t="inlineStr">
        <is>
          <t>PostgreSQL</t>
        </is>
      </c>
      <c r="B18" s="7" t="inlineStr">
        <is>
          <t>16</t>
        </is>
      </c>
      <c r="C18" s="7" t="inlineStr">
        <is>
          <t>Database</t>
        </is>
      </c>
      <c r="D18" s="7" t="inlineStr">
        <is>
          <t>PostgreSQL Licence</t>
        </is>
      </c>
      <c r="E18" s="8" t="n">
        <v>0</v>
      </c>
      <c r="F18" s="7" t="inlineStr">
        <is>
          <t>Included in iorta fee</t>
        </is>
      </c>
    </row>
    <row r="19">
      <c r="A19" s="14" t="inlineStr">
        <is>
          <t>pgBackRest</t>
        </is>
      </c>
      <c r="B19" s="14" t="inlineStr">
        <is>
          <t>2</t>
        </is>
      </c>
      <c r="C19" s="14" t="inlineStr">
        <is>
          <t>Database backup and point-in-time recovery</t>
        </is>
      </c>
      <c r="D19" s="14" t="inlineStr">
        <is>
          <t>MIT</t>
        </is>
      </c>
      <c r="E19" s="16" t="n">
        <v>0</v>
      </c>
      <c r="F19" s="14" t="inlineStr">
        <is>
          <t>Included in iorta fee</t>
        </is>
      </c>
    </row>
    <row r="20">
      <c r="A20" s="7" t="inlineStr">
        <is>
          <t>nginx (unprivileged image)</t>
        </is>
      </c>
      <c r="B20" s="7" t="inlineStr">
        <is>
          <t>1.29</t>
        </is>
      </c>
      <c r="C20" s="7" t="inlineStr">
        <is>
          <t>Web server for the user interface</t>
        </is>
      </c>
      <c r="D20" s="7" t="inlineStr">
        <is>
          <t>BSD-2-Clause</t>
        </is>
      </c>
      <c r="E20" s="8" t="n">
        <v>0</v>
      </c>
      <c r="F20" s="7" t="inlineStr">
        <is>
          <t>Included in iorta fee</t>
        </is>
      </c>
    </row>
    <row r="21">
      <c r="A21" s="14" t="inlineStr">
        <is>
          <t>ClamAV</t>
        </is>
      </c>
      <c r="B21" s="14" t="inlineStr">
        <is>
          <t>stable</t>
        </is>
      </c>
      <c r="C21" s="14" t="inlineStr">
        <is>
          <t>Malware scan of uploaded documents (separate container)</t>
        </is>
      </c>
      <c r="D21" s="14" t="inlineStr">
        <is>
          <t>GPL-2.0</t>
        </is>
      </c>
      <c r="E21" s="16" t="n">
        <v>0</v>
      </c>
      <c r="F21" s="14" t="inlineStr">
        <is>
          <t>Included in iorta fee</t>
        </is>
      </c>
    </row>
    <row r="22">
      <c r="A22" s="7" t="inlineStr">
        <is>
          <t>Docker Engine, containerd</t>
        </is>
      </c>
      <c r="B22" s="7" t="inlineStr">
        <is>
          <t>27+ / 1.7+</t>
        </is>
      </c>
      <c r="C22" s="7" t="inlineStr">
        <is>
          <t>Container runtime</t>
        </is>
      </c>
      <c r="D22" s="7" t="inlineStr">
        <is>
          <t>Apache-2.0</t>
        </is>
      </c>
      <c r="E22" s="8" t="n">
        <v>0</v>
      </c>
      <c r="F22" s="7" t="inlineStr">
        <is>
          <t>Included in iorta fee</t>
        </is>
      </c>
    </row>
    <row r="23">
      <c r="A23" s="14" t="inlineStr">
        <is>
          <t>Linux operating system</t>
        </is>
      </c>
      <c r="B23" s="14" t="inlineStr">
        <is>
          <t>Ubuntu Server 24.04 LTS or RHEL 9</t>
        </is>
      </c>
      <c r="C23" s="14" t="inlineStr">
        <is>
          <t>Server OS</t>
        </is>
      </c>
      <c r="D23" s="14" t="inlineStr">
        <is>
          <t>Ubuntu: free; RHEL: subscription</t>
        </is>
      </c>
      <c r="E23" s="16" t="n">
        <v>0</v>
      </c>
      <c r="F23" s="14" t="inlineStr">
        <is>
          <t>Option A: IIFT procures (Ubuntu free; RHEL optional). Option B: in cloud actuals</t>
        </is>
      </c>
    </row>
    <row r="24">
      <c r="A24" s="7" t="inlineStr">
        <is>
          <t>Prometheus, Grafana, Loki</t>
        </is>
      </c>
      <c r="B24" s="7" t="inlineStr">
        <is>
          <t>current</t>
        </is>
      </c>
      <c r="C24" s="7" t="inlineStr">
        <is>
          <t>Monitoring, dashboards, log aggregation</t>
        </is>
      </c>
      <c r="D24" s="7" t="inlineStr">
        <is>
          <t>Apache-2.0 / AGPL-3.0</t>
        </is>
      </c>
      <c r="E24" s="8" t="n">
        <v>0</v>
      </c>
      <c r="F24" s="7" t="inlineStr">
        <is>
          <t>Included in iorta fee</t>
        </is>
      </c>
    </row>
    <row r="25">
      <c r="A25" s="9" t="inlineStr">
        <is>
          <t>Total licence fees</t>
        </is>
      </c>
      <c r="B25" s="9" t="inlineStr"/>
      <c r="C25" s="9" t="inlineStr"/>
      <c r="D25" s="9" t="inlineStr"/>
      <c r="E25" s="10">
        <f>SUM(E8:E24)</f>
        <v/>
      </c>
      <c r="F25" s="9" t="inlineStr"/>
    </row>
    <row r="27" ht="18" customHeight="1">
      <c r="A27" s="5" t="inlineStr">
        <is>
          <t>2. Application packages by licence (494 runtime npm packages, from the CI licence scan)</t>
        </is>
      </c>
    </row>
    <row r="28" ht="30" customHeight="1">
      <c r="A28" s="6" t="inlineStr">
        <is>
          <t>Licence</t>
        </is>
      </c>
      <c r="B28" s="6" t="inlineStr">
        <is>
          <t>Packages</t>
        </is>
      </c>
      <c r="C28" s="6" t="inlineStr">
        <is>
          <t>Type</t>
        </is>
      </c>
      <c r="D28" s="18" t="n"/>
      <c r="E28" s="18" t="n"/>
      <c r="F28" s="19" t="n"/>
    </row>
    <row r="29">
      <c r="A29" s="7" t="inlineStr">
        <is>
          <t>MIT</t>
        </is>
      </c>
      <c r="B29" s="13" t="n">
        <v>400</v>
      </c>
      <c r="C29" s="7" t="inlineStr">
        <is>
          <t>Permissive</t>
        </is>
      </c>
      <c r="D29" s="18" t="n"/>
      <c r="E29" s="18" t="n"/>
      <c r="F29" s="19" t="n"/>
    </row>
    <row r="30">
      <c r="A30" s="14" t="inlineStr">
        <is>
          <t>ISC</t>
        </is>
      </c>
      <c r="B30" s="15" t="n">
        <v>40</v>
      </c>
      <c r="C30" s="14" t="inlineStr">
        <is>
          <t>Permissive</t>
        </is>
      </c>
      <c r="D30" s="18" t="n"/>
      <c r="E30" s="18" t="n"/>
      <c r="F30" s="19" t="n"/>
    </row>
    <row r="31">
      <c r="A31" s="7" t="inlineStr">
        <is>
          <t>Apache-2.0</t>
        </is>
      </c>
      <c r="B31" s="13" t="n">
        <v>30</v>
      </c>
      <c r="C31" s="7" t="inlineStr">
        <is>
          <t>Permissive</t>
        </is>
      </c>
      <c r="D31" s="18" t="n"/>
      <c r="E31" s="18" t="n"/>
      <c r="F31" s="19" t="n"/>
    </row>
    <row r="32">
      <c r="A32" s="14" t="inlineStr">
        <is>
          <t>BSD-3-Clause</t>
        </is>
      </c>
      <c r="B32" s="15" t="n">
        <v>7</v>
      </c>
      <c r="C32" s="14" t="inlineStr">
        <is>
          <t>Permissive</t>
        </is>
      </c>
      <c r="D32" s="18" t="n"/>
      <c r="E32" s="18" t="n"/>
      <c r="F32" s="19" t="n"/>
    </row>
    <row r="33">
      <c r="A33" s="7" t="inlineStr">
        <is>
          <t>Unlicense</t>
        </is>
      </c>
      <c r="B33" s="13" t="n">
        <v>3</v>
      </c>
      <c r="C33" s="7" t="inlineStr">
        <is>
          <t>Permissive</t>
        </is>
      </c>
      <c r="D33" s="18" t="n"/>
      <c r="E33" s="18" t="n"/>
      <c r="F33" s="19" t="n"/>
    </row>
    <row r="34">
      <c r="A34" s="14" t="inlineStr">
        <is>
          <t>UNKNOWN</t>
        </is>
      </c>
      <c r="B34" s="15" t="n">
        <v>2</v>
      </c>
      <c r="C34" s="14" t="inlineStr">
        <is>
          <t>Not declared in package metadata; reviewed in the SBOM licence check before go-live</t>
        </is>
      </c>
      <c r="D34" s="18" t="n"/>
      <c r="E34" s="18" t="n"/>
      <c r="F34" s="19" t="n"/>
    </row>
    <row r="35">
      <c r="A35" s="7" t="inlineStr">
        <is>
          <t>MIT/X11</t>
        </is>
      </c>
      <c r="B35" s="13" t="n">
        <v>2</v>
      </c>
      <c r="C35" s="7" t="inlineStr">
        <is>
          <t>Permissive</t>
        </is>
      </c>
      <c r="D35" s="18" t="n"/>
      <c r="E35" s="18" t="n"/>
      <c r="F35" s="19" t="n"/>
    </row>
    <row r="36">
      <c r="A36" s="14" t="inlineStr">
        <is>
          <t>BSD-2-Clause</t>
        </is>
      </c>
      <c r="B36" s="15" t="n">
        <v>2</v>
      </c>
      <c r="C36" s="14" t="inlineStr">
        <is>
          <t>Permissive</t>
        </is>
      </c>
      <c r="D36" s="18" t="n"/>
      <c r="E36" s="18" t="n"/>
      <c r="F36" s="19" t="n"/>
    </row>
    <row r="37">
      <c r="A37" s="7" t="inlineStr">
        <is>
          <t>MIT and ISC</t>
        </is>
      </c>
      <c r="B37" s="13" t="n">
        <v>1</v>
      </c>
      <c r="C37" s="7" t="inlineStr">
        <is>
          <t>Permissive</t>
        </is>
      </c>
      <c r="D37" s="18" t="n"/>
      <c r="E37" s="18" t="n"/>
      <c r="F37" s="19" t="n"/>
    </row>
    <row r="38">
      <c r="A38" s="14" t="inlineStr">
        <is>
          <t>Python-2.0</t>
        </is>
      </c>
      <c r="B38" s="15" t="n">
        <v>1</v>
      </c>
      <c r="C38" s="14" t="inlineStr">
        <is>
          <t>Permissive</t>
        </is>
      </c>
      <c r="D38" s="18" t="n"/>
      <c r="E38" s="18" t="n"/>
      <c r="F38" s="19" t="n"/>
    </row>
    <row r="39">
      <c r="A39" s="7" t="inlineStr">
        <is>
          <t>EPL-2.0</t>
        </is>
      </c>
      <c r="B39" s="13" t="n">
        <v>1</v>
      </c>
      <c r="C39" s="7" t="inlineStr">
        <is>
          <t>Weak copyleft; used unmodified as a library</t>
        </is>
      </c>
      <c r="D39" s="18" t="n"/>
      <c r="E39" s="18" t="n"/>
      <c r="F39" s="19" t="n"/>
    </row>
    <row r="40">
      <c r="A40" s="14" t="inlineStr">
        <is>
          <t>(MIT OR GPL-3.0-or-later)</t>
        </is>
      </c>
      <c r="B40" s="15" t="n">
        <v>1</v>
      </c>
      <c r="C40" s="14" t="inlineStr">
        <is>
          <t>Dual licence; used under MIT</t>
        </is>
      </c>
      <c r="D40" s="18" t="n"/>
      <c r="E40" s="18" t="n"/>
      <c r="F40" s="19" t="n"/>
    </row>
    <row r="41">
      <c r="A41" s="7" t="inlineStr">
        <is>
          <t>MIT-0</t>
        </is>
      </c>
      <c r="B41" s="13" t="n">
        <v>1</v>
      </c>
      <c r="C41" s="7" t="inlineStr">
        <is>
          <t>Permissive</t>
        </is>
      </c>
      <c r="D41" s="18" t="n"/>
      <c r="E41" s="18" t="n"/>
      <c r="F41" s="19" t="n"/>
    </row>
    <row r="42">
      <c r="A42" s="14" t="inlineStr">
        <is>
          <t>(MIT AND Zlib)</t>
        </is>
      </c>
      <c r="B42" s="15" t="n">
        <v>1</v>
      </c>
      <c r="C42" s="14" t="inlineStr">
        <is>
          <t>Permissive</t>
        </is>
      </c>
      <c r="D42" s="18" t="n"/>
      <c r="E42" s="18" t="n"/>
      <c r="F42" s="19" t="n"/>
    </row>
    <row r="43">
      <c r="A43" s="7" t="inlineStr">
        <is>
          <t>0BSD</t>
        </is>
      </c>
      <c r="B43" s="13" t="n">
        <v>1</v>
      </c>
      <c r="C43" s="7" t="inlineStr">
        <is>
          <t>Permissive</t>
        </is>
      </c>
      <c r="D43" s="18" t="n"/>
      <c r="E43" s="18" t="n"/>
      <c r="F43" s="19" t="n"/>
    </row>
    <row r="44">
      <c r="A44" s="14" t="inlineStr">
        <is>
          <t>MIT AND ISC</t>
        </is>
      </c>
      <c r="B44" s="15" t="n">
        <v>1</v>
      </c>
      <c r="C44" s="14" t="inlineStr">
        <is>
          <t>Permissive</t>
        </is>
      </c>
      <c r="D44" s="18" t="n"/>
      <c r="E44" s="18" t="n"/>
      <c r="F44" s="19" t="n"/>
    </row>
    <row r="45">
      <c r="A45" s="9" t="inlineStr">
        <is>
          <t>Total</t>
        </is>
      </c>
      <c r="B45" s="17">
        <f>SUM(B29:B44)</f>
        <v/>
      </c>
      <c r="C45" s="9" t="inlineStr"/>
      <c r="D45" s="18" t="n"/>
      <c r="E45" s="18" t="n"/>
      <c r="F45" s="19" t="n"/>
    </row>
    <row r="47" ht="18" customHeight="1">
      <c r="A47" s="5" t="inlineStr">
        <is>
          <t>3. Notes</t>
        </is>
      </c>
    </row>
    <row r="48" ht="13" customHeight="1">
      <c r="A48" s="11" t="inlineStr">
        <is>
          <t>•  Direct runtime dependencies: 28 in the API (apps/api/package.json) and 8 in the web application (apps/web/package.json).</t>
        </is>
      </c>
    </row>
    <row r="49" ht="13" customHeight="1">
      <c r="A49" s="11" t="inlineStr">
        <is>
          <t>•  Packages that are not plainly permissive: UNKNOWN: buffers 0.1.1, png-js 2.0.0; EPL-2.0: elkjs 0.11.1; (MIT OR GPL-3.0-or-later): jszip 3.10.2.</t>
        </is>
      </c>
    </row>
    <row r="50" ht="13" customHeight="1">
      <c r="A50" s="11" t="inlineStr">
        <is>
          <t>•  ClamAV (GPL-2.0) and Grafana / Loki (AGPL-3.0) run as separate, unmodified programs; IITH monitoring tools can replace Grafana and Loki.</t>
        </is>
      </c>
    </row>
    <row r="51" ht="13" customHeight="1">
      <c r="A51" s="11" t="inlineStr">
        <is>
          <t>•  The CI pipeline produces a CycloneDX SBOM (npm sbom, production dependencies) on every build; it is delivered with each release.</t>
        </is>
      </c>
    </row>
  </sheetData>
  <mergeCells count="23">
    <mergeCell ref="C39:F39"/>
    <mergeCell ref="C38:F38"/>
    <mergeCell ref="A50:F50"/>
    <mergeCell ref="C32:F32"/>
    <mergeCell ref="C37:F37"/>
    <mergeCell ref="C28:F28"/>
    <mergeCell ref="C34:F34"/>
    <mergeCell ref="C30:F30"/>
    <mergeCell ref="C33:F33"/>
    <mergeCell ref="A4:F4"/>
    <mergeCell ref="C42:F42"/>
    <mergeCell ref="C45:F45"/>
    <mergeCell ref="C35:F35"/>
    <mergeCell ref="C29:F29"/>
    <mergeCell ref="A48:F48"/>
    <mergeCell ref="C41:F41"/>
    <mergeCell ref="C44:F44"/>
    <mergeCell ref="C40:F40"/>
    <mergeCell ref="A49:F49"/>
    <mergeCell ref="A51:F51"/>
    <mergeCell ref="C31:F31"/>
    <mergeCell ref="C43:F43"/>
    <mergeCell ref="C36:F36"/>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5.xml><?xml version="1.0" encoding="utf-8"?>
<worksheet xmlns="http://schemas.openxmlformats.org/spreadsheetml/2006/main">
  <sheetPr>
    <tabColor rgb="00F58220"/>
    <outlinePr summaryBelow="1" summaryRight="1"/>
    <pageSetUpPr fitToPage="1"/>
  </sheetPr>
  <dimension ref="A1:J23"/>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20" customWidth="1" min="2" max="2"/>
    <col width="11" customWidth="1" min="3" max="3"/>
    <col width="22" customWidth="1" min="4" max="4"/>
    <col width="12" customWidth="1" min="5" max="5"/>
    <col width="12" customWidth="1" min="6" max="6"/>
    <col width="22" customWidth="1" min="7" max="7"/>
    <col width="12" customWidth="1" min="8" max="8"/>
    <col width="12" customWidth="1" min="9" max="9"/>
    <col width="70" customWidth="1" min="10" max="10"/>
  </cols>
  <sheetData>
    <row r="1" ht="22" customHeight="1">
      <c r="A1" s="1" t="inlineStr">
        <is>
          <t>Third-party services, paid and optional items – indicative B$ per year</t>
        </is>
      </c>
    </row>
    <row r="2">
      <c r="A2" s="2" t="inlineStr">
        <is>
          <t>iorta TechNXT – proposal to Insurans Islam Family Takaful Sendirian Berhad – October 2026</t>
        </is>
      </c>
    </row>
    <row r="4" ht="13" customHeight="1">
      <c r="A4" s="12" t="inlineStr">
        <is>
          <t>Treatment: Included in iorta fee / Pass-through at cost / IIFT procures / Not required. Amounts are indicative and confirmed by each provider; they are not part of iorta's fees unless marked included.</t>
        </is>
      </c>
    </row>
    <row r="6" ht="32" customHeight="1">
      <c r="A6" s="6" t="inlineStr">
        <is>
          <t>Item</t>
        </is>
      </c>
      <c r="B6" s="6" t="inlineStr">
        <is>
          <t>Basis</t>
        </is>
      </c>
      <c r="C6" s="6" t="inlineStr">
        <is>
          <t>Required</t>
        </is>
      </c>
      <c r="D6" s="6" t="inlineStr">
        <is>
          <t>Option A treatment</t>
        </is>
      </c>
      <c r="E6" s="6" t="inlineStr">
        <is>
          <t>A: low (B$)</t>
        </is>
      </c>
      <c r="F6" s="6" t="inlineStr">
        <is>
          <t>A: high (B$)</t>
        </is>
      </c>
      <c r="G6" s="6" t="inlineStr">
        <is>
          <t>Option B treatment</t>
        </is>
      </c>
      <c r="H6" s="6" t="inlineStr">
        <is>
          <t>B: low (B$)</t>
        </is>
      </c>
      <c r="I6" s="6" t="inlineStr">
        <is>
          <t>B: high (B$)</t>
        </is>
      </c>
      <c r="J6" s="6" t="inlineStr">
        <is>
          <t>Notes</t>
        </is>
      </c>
    </row>
    <row r="7">
      <c r="A7" s="7" t="inlineStr">
        <is>
          <t>SSL/TLS certificates</t>
        </is>
      </c>
      <c r="B7" s="7" t="inlineStr">
        <is>
          <t>Annual, per certificate</t>
        </is>
      </c>
      <c r="C7" s="13" t="inlineStr">
        <is>
          <t>Yes</t>
        </is>
      </c>
      <c r="D7" s="7" t="inlineStr">
        <is>
          <t>IIFT procures</t>
        </is>
      </c>
      <c r="E7" s="8" t="n">
        <v>300</v>
      </c>
      <c r="F7" s="8" t="n">
        <v>1000</v>
      </c>
      <c r="G7" s="7" t="inlineStr">
        <is>
          <t>Pass-through at cost</t>
        </is>
      </c>
      <c r="H7" s="8" t="n">
        <v>0</v>
      </c>
      <c r="I7" s="8" t="n">
        <v>0</v>
      </c>
      <c r="J7" s="7" t="inlineStr">
        <is>
          <t>Two public certificates (portal, e-signature link) at about B$150–500 each; internal certificates from the IITH CA. Under Option B the load-balancer certificate is issued by the cloud provider at no charge.</t>
        </is>
      </c>
    </row>
    <row r="8">
      <c r="A8" s="14" t="inlineStr">
        <is>
          <t>SMS gateway</t>
        </is>
      </c>
      <c r="B8" s="14" t="inlineStr">
        <is>
          <t>Per message</t>
        </is>
      </c>
      <c r="C8" s="15" t="inlineStr">
        <is>
          <t>Yes</t>
        </is>
      </c>
      <c r="D8" s="14" t="inlineStr">
        <is>
          <t>IIFT procures</t>
        </is>
      </c>
      <c r="E8" s="16" t="n">
        <v>300</v>
      </c>
      <c r="F8" s="16" t="n">
        <v>600</v>
      </c>
      <c r="G8" s="14" t="inlineStr">
        <is>
          <t>IIFT procures</t>
        </is>
      </c>
      <c r="H8" s="16" t="n">
        <v>300</v>
      </c>
      <c r="I8" s="16" t="n">
        <v>600</v>
      </c>
      <c r="J8" s="14" t="inlineStr">
        <is>
          <t>IIFT's SMS provider account; about B$0.05–0.10 per message, roughly 6,000 OTP and alert messages a year.</t>
        </is>
      </c>
    </row>
    <row r="9">
      <c r="A9" s="7" t="inlineStr">
        <is>
          <t>AML screening data / service</t>
        </is>
      </c>
      <c r="B9" s="7" t="inlineStr">
        <is>
          <t>Annual or per search</t>
        </is>
      </c>
      <c r="C9" s="13" t="inlineStr">
        <is>
          <t>Yes</t>
        </is>
      </c>
      <c r="D9" s="7" t="inlineStr">
        <is>
          <t>IIFT procures</t>
        </is>
      </c>
      <c r="E9" s="8" t="n">
        <v>0</v>
      </c>
      <c r="F9" s="8" t="n">
        <v>3000</v>
      </c>
      <c r="G9" s="7" t="inlineStr">
        <is>
          <t>IIFT procures</t>
        </is>
      </c>
      <c r="H9" s="8" t="n">
        <v>0</v>
      </c>
      <c r="I9" s="8" t="n">
        <v>3000</v>
      </c>
      <c r="J9" s="7" t="inlineStr">
        <is>
          <t>B$0 if IIFT's existing screening service or lists are reused; otherwise from about B$3,000 a year.</t>
        </is>
      </c>
    </row>
    <row r="10">
      <c r="A10" s="14" t="inlineStr">
        <is>
          <t>E-mail relay</t>
        </is>
      </c>
      <c r="B10" s="14" t="inlineStr">
        <is>
          <t>Usage</t>
        </is>
      </c>
      <c r="C10" s="15" t="inlineStr">
        <is>
          <t>Yes</t>
        </is>
      </c>
      <c r="D10" s="14" t="inlineStr">
        <is>
          <t>IIFT procures</t>
        </is>
      </c>
      <c r="E10" s="16" t="n">
        <v>0</v>
      </c>
      <c r="F10" s="16" t="n">
        <v>120</v>
      </c>
      <c r="G10" s="14" t="inlineStr">
        <is>
          <t>IIFT procures</t>
        </is>
      </c>
      <c r="H10" s="16" t="n">
        <v>0</v>
      </c>
      <c r="I10" s="16" t="n">
        <v>120</v>
      </c>
      <c r="J10" s="14" t="inlineStr">
        <is>
          <t>B$0 through the IITH relay (over the VPN under Option B); a cloud e-mail service costs under B$10 a month.</t>
        </is>
      </c>
    </row>
    <row r="11">
      <c r="A11" s="7" t="inlineStr">
        <is>
          <t>Independent VAPT and re-test</t>
        </is>
      </c>
      <c r="B11" s="7" t="inlineStr">
        <is>
          <t>One-off</t>
        </is>
      </c>
      <c r="C11" s="13" t="inlineStr">
        <is>
          <t>Yes</t>
        </is>
      </c>
      <c r="D11" s="7" t="inlineStr">
        <is>
          <t>Included in iorta fee</t>
        </is>
      </c>
      <c r="E11" s="8" t="n">
        <v>0</v>
      </c>
      <c r="F11" s="8" t="n">
        <v>0</v>
      </c>
      <c r="G11" s="7" t="inlineStr">
        <is>
          <t>Included in iorta fee</t>
        </is>
      </c>
      <c r="H11" s="8" t="n">
        <v>0</v>
      </c>
      <c r="I11" s="8" t="n">
        <v>0</v>
      </c>
      <c r="J11" s="7" t="inlineStr">
        <is>
          <t>Pre-go-live test and re-test included in item 7. Later annual tests can be quoted on request.</t>
        </is>
      </c>
    </row>
    <row r="12">
      <c r="A12" s="14" t="inlineStr">
        <is>
          <t>Backup software</t>
        </is>
      </c>
      <c r="B12" s="14" t="inlineStr">
        <is>
          <t>–</t>
        </is>
      </c>
      <c r="C12" s="15" t="inlineStr">
        <is>
          <t>Yes</t>
        </is>
      </c>
      <c r="D12" s="14" t="inlineStr">
        <is>
          <t>IIFT procures</t>
        </is>
      </c>
      <c r="E12" s="16" t="n">
        <v>0</v>
      </c>
      <c r="F12" s="16" t="n">
        <v>0</v>
      </c>
      <c r="G12" s="14" t="inlineStr">
        <is>
          <t>Pass-through at cost</t>
        </is>
      </c>
      <c r="H12" s="16" t="n">
        <v>0</v>
      </c>
      <c r="I12" s="16" t="n">
        <v>0</v>
      </c>
      <c r="J12" s="14" t="inlineStr">
        <is>
          <t>Option A: IITH backup platform reused; pgBackRest (open source) for PostgreSQL. Option B: cloud backup services within the cloud actuals.</t>
        </is>
      </c>
    </row>
    <row r="13">
      <c r="A13" s="7" t="inlineStr">
        <is>
          <t>SIEM / security monitoring</t>
        </is>
      </c>
      <c r="B13" s="7" t="inlineStr">
        <is>
          <t>–</t>
        </is>
      </c>
      <c r="C13" s="13" t="inlineStr">
        <is>
          <t>Yes</t>
        </is>
      </c>
      <c r="D13" s="7" t="inlineStr">
        <is>
          <t>IIFT procures</t>
        </is>
      </c>
      <c r="E13" s="8" t="n">
        <v>0</v>
      </c>
      <c r="F13" s="8" t="n">
        <v>0</v>
      </c>
      <c r="G13" s="7" t="inlineStr">
        <is>
          <t>Pass-through at cost</t>
        </is>
      </c>
      <c r="H13" s="8" t="n">
        <v>0</v>
      </c>
      <c r="I13" s="8" t="n">
        <v>0</v>
      </c>
      <c r="J13" s="7" t="inlineStr">
        <is>
          <t>Option A: IITH SIEM reused; iorta configures log forwarding. Option B: cloud threat detection within the cloud actuals; forwarding to the IITH SIEM on request.</t>
        </is>
      </c>
    </row>
    <row r="14">
      <c r="A14" s="14" t="inlineStr">
        <is>
          <t>Virtualisation, network, firewall, DNS</t>
        </is>
      </c>
      <c r="B14" s="14" t="inlineStr">
        <is>
          <t>–</t>
        </is>
      </c>
      <c r="C14" s="15" t="inlineStr">
        <is>
          <t>Yes</t>
        </is>
      </c>
      <c r="D14" s="14" t="inlineStr">
        <is>
          <t>IIFT procures</t>
        </is>
      </c>
      <c r="E14" s="16" t="n">
        <v>0</v>
      </c>
      <c r="F14" s="16" t="n">
        <v>0</v>
      </c>
      <c r="G14" s="14" t="inlineStr">
        <is>
          <t>IIFT procures</t>
        </is>
      </c>
      <c r="H14" s="16" t="n">
        <v>0</v>
      </c>
      <c r="I14" s="16" t="n">
        <v>0</v>
      </c>
      <c r="J14" s="14" t="inlineStr">
        <is>
          <t>Existing IITH platforms. Under Option B only the IITH VPN endpoint and DNS entries are needed.</t>
        </is>
      </c>
    </row>
    <row r="15">
      <c r="A15" s="7" t="inlineStr">
        <is>
          <t>Source code repository and CI/CD</t>
        </is>
      </c>
      <c r="B15" s="7" t="inlineStr">
        <is>
          <t>–</t>
        </is>
      </c>
      <c r="C15" s="13" t="inlineStr">
        <is>
          <t>Yes</t>
        </is>
      </c>
      <c r="D15" s="7" t="inlineStr">
        <is>
          <t>Included in iorta fee</t>
        </is>
      </c>
      <c r="E15" s="8" t="n">
        <v>0</v>
      </c>
      <c r="F15" s="8" t="n">
        <v>0</v>
      </c>
      <c r="G15" s="7" t="inlineStr">
        <is>
          <t>Included in iorta fee</t>
        </is>
      </c>
      <c r="H15" s="8" t="n">
        <v>0</v>
      </c>
      <c r="I15" s="8" t="n">
        <v>0</v>
      </c>
      <c r="J15" s="7" t="inlineStr">
        <is>
          <t>iorta's repository and pipeline during the contract, mirrored to IITH GitLab if required.</t>
        </is>
      </c>
    </row>
    <row r="16">
      <c r="A16" s="14" t="inlineStr">
        <is>
          <t>Monitoring stack (Prometheus, Grafana, Loki)</t>
        </is>
      </c>
      <c r="B16" s="14" t="inlineStr">
        <is>
          <t>–</t>
        </is>
      </c>
      <c r="C16" s="15" t="inlineStr">
        <is>
          <t>Yes</t>
        </is>
      </c>
      <c r="D16" s="14" t="inlineStr">
        <is>
          <t>Included in iorta fee</t>
        </is>
      </c>
      <c r="E16" s="16" t="n">
        <v>0</v>
      </c>
      <c r="F16" s="16" t="n">
        <v>0</v>
      </c>
      <c r="G16" s="14" t="inlineStr">
        <is>
          <t>Included in iorta fee</t>
        </is>
      </c>
      <c r="H16" s="16" t="n">
        <v>0</v>
      </c>
      <c r="I16" s="16" t="n">
        <v>0</v>
      </c>
      <c r="J16" s="14" t="inlineStr">
        <is>
          <t>Open source; set up by iorta. IITH monitoring tools can be used instead.</t>
        </is>
      </c>
    </row>
    <row r="17">
      <c r="A17" s="7" t="inlineStr">
        <is>
          <t>Commercial PostgreSQL support (EDB or similar)</t>
        </is>
      </c>
      <c r="B17" s="7" t="inlineStr">
        <is>
          <t>Annual</t>
        </is>
      </c>
      <c r="C17" s="13" t="inlineStr">
        <is>
          <t>Optional</t>
        </is>
      </c>
      <c r="D17" s="7" t="inlineStr">
        <is>
          <t>IIFT procures</t>
        </is>
      </c>
      <c r="E17" s="8" t="n">
        <v>5000</v>
      </c>
      <c r="F17" s="8" t="n">
        <v>10000</v>
      </c>
      <c r="G17" s="7" t="inlineStr">
        <is>
          <t>Not required</t>
        </is>
      </c>
      <c r="H17" s="8" t="n">
        <v>0</v>
      </c>
      <c r="I17" s="8" t="n">
        <v>0</v>
      </c>
      <c r="J17" s="7" t="inlineStr">
        <is>
          <t>Optional. Database support is already part of the AMC; vendor support only if IIFT policy requires it. Under Option B the managed database is supported by the cloud provider.</t>
        </is>
      </c>
    </row>
    <row r="18">
      <c r="A18" s="14" t="inlineStr">
        <is>
          <t>Red Hat Enterprise Linux subscriptions</t>
        </is>
      </c>
      <c r="B18" s="14" t="inlineStr">
        <is>
          <t>Annual, per VM</t>
        </is>
      </c>
      <c r="C18" s="15" t="inlineStr">
        <is>
          <t>Optional</t>
        </is>
      </c>
      <c r="D18" s="14" t="inlineStr">
        <is>
          <t>IIFT procures</t>
        </is>
      </c>
      <c r="E18" s="16" t="n">
        <v>4500</v>
      </c>
      <c r="F18" s="16" t="n">
        <v>10800</v>
      </c>
      <c r="G18" s="14" t="inlineStr">
        <is>
          <t>Not required</t>
        </is>
      </c>
      <c r="H18" s="16" t="n">
        <v>0</v>
      </c>
      <c r="I18" s="16" t="n">
        <v>0</v>
      </c>
      <c r="J18" s="14" t="inlineStr">
        <is>
          <t>Optional. Ubuntu Server 24.04 LTS carries no licence fee; RHEL about B$500–1,200 per VM a year if IIFT standardises on it.</t>
        </is>
      </c>
    </row>
    <row r="19">
      <c r="A19" s="7" t="inlineStr">
        <is>
          <t>Source code escrow agent</t>
        </is>
      </c>
      <c r="B19" s="7" t="inlineStr">
        <is>
          <t>Annual</t>
        </is>
      </c>
      <c r="C19" s="13" t="inlineStr">
        <is>
          <t>Optional</t>
        </is>
      </c>
      <c r="D19" s="7" t="inlineStr">
        <is>
          <t>Pass-through at cost</t>
        </is>
      </c>
      <c r="E19" s="8" t="n">
        <v>2500</v>
      </c>
      <c r="F19" s="8" t="n">
        <v>4000</v>
      </c>
      <c r="G19" s="7" t="inlineStr">
        <is>
          <t>Pass-through at cost</t>
        </is>
      </c>
      <c r="H19" s="8" t="n">
        <v>2500</v>
      </c>
      <c r="I19" s="8" t="n">
        <v>4000</v>
      </c>
      <c r="J19" s="7" t="inlineStr">
        <is>
          <t>Optional alternative to Option C. Agent fees payable by IIFT at cost; iorta's deposits are included.</t>
        </is>
      </c>
    </row>
    <row r="20">
      <c r="A20" s="14" t="inlineStr">
        <is>
          <t>PKI digital signature certificates</t>
        </is>
      </c>
      <c r="B20" s="14" t="inlineStr">
        <is>
          <t>–</t>
        </is>
      </c>
      <c r="C20" s="15" t="inlineStr">
        <is>
          <t>Optional</t>
        </is>
      </c>
      <c r="D20" s="14" t="inlineStr">
        <is>
          <t>Not required</t>
        </is>
      </c>
      <c r="E20" s="16" t="n">
        <v>0</v>
      </c>
      <c r="F20" s="16" t="n">
        <v>0</v>
      </c>
      <c r="G20" s="14" t="inlineStr">
        <is>
          <t>Not required</t>
        </is>
      </c>
      <c r="H20" s="16" t="n">
        <v>0</v>
      </c>
      <c r="I20" s="16" t="n">
        <v>0</v>
      </c>
      <c r="J20" s="14" t="inlineStr">
        <is>
          <t>Not required: the solution's e-signature captures consent with an audit record. Can be added later.</t>
        </is>
      </c>
    </row>
    <row r="21">
      <c r="A21" s="7" t="inlineStr">
        <is>
          <t>Payment gateway</t>
        </is>
      </c>
      <c r="B21" s="7" t="inlineStr">
        <is>
          <t>–</t>
        </is>
      </c>
      <c r="C21" s="13" t="inlineStr">
        <is>
          <t>Optional</t>
        </is>
      </c>
      <c r="D21" s="7" t="inlineStr">
        <is>
          <t>Not required</t>
        </is>
      </c>
      <c r="E21" s="8" t="n">
        <v>0</v>
      </c>
      <c r="F21" s="8" t="n">
        <v>0</v>
      </c>
      <c r="G21" s="7" t="inlineStr">
        <is>
          <t>Not required</t>
        </is>
      </c>
      <c r="H21" s="8" t="n">
        <v>0</v>
      </c>
      <c r="I21" s="8" t="n">
        <v>0</v>
      </c>
      <c r="J21" s="7" t="inlineStr">
        <is>
          <t>Not required: payments are recorded and verified in the back-office. Can be added later.</t>
        </is>
      </c>
    </row>
    <row r="22">
      <c r="A22" s="9" t="inlineStr">
        <is>
          <t>Total required items, per year</t>
        </is>
      </c>
      <c r="B22" s="9" t="inlineStr"/>
      <c r="C22" s="9" t="inlineStr"/>
      <c r="D22" s="9" t="inlineStr"/>
      <c r="E22" s="10">
        <f>SUM(E7:E16)</f>
        <v/>
      </c>
      <c r="F22" s="10">
        <f>SUM(F7:F16)</f>
        <v/>
      </c>
      <c r="G22" s="9" t="inlineStr"/>
      <c r="H22" s="10">
        <f>SUM(H7:H16)</f>
        <v/>
      </c>
      <c r="I22" s="10">
        <f>SUM(I7:I16)</f>
        <v/>
      </c>
      <c r="J22" s="9" t="inlineStr"/>
    </row>
    <row r="23">
      <c r="A23" s="9" t="inlineStr">
        <is>
          <t>Total optional items, per year</t>
        </is>
      </c>
      <c r="B23" s="9" t="inlineStr"/>
      <c r="C23" s="9" t="inlineStr"/>
      <c r="D23" s="9" t="inlineStr"/>
      <c r="E23" s="10">
        <f>SUM(E17:E21)</f>
        <v/>
      </c>
      <c r="F23" s="10">
        <f>SUM(F17:F21)</f>
        <v/>
      </c>
      <c r="G23" s="9" t="inlineStr"/>
      <c r="H23" s="10">
        <f>SUM(H17:H21)</f>
        <v/>
      </c>
      <c r="I23" s="10">
        <f>SUM(I17:I21)</f>
        <v/>
      </c>
      <c r="J23" s="9" t="inlineStr"/>
    </row>
  </sheetData>
  <mergeCells count="1">
    <mergeCell ref="A4:J4"/>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6.xml><?xml version="1.0" encoding="utf-8"?>
<worksheet xmlns="http://schemas.openxmlformats.org/spreadsheetml/2006/main">
  <sheetPr>
    <tabColor rgb="00F58220"/>
    <outlinePr summaryBelow="1" summaryRight="1"/>
    <pageSetUpPr fitToPage="1"/>
  </sheetPr>
  <dimension ref="A1:B12"/>
  <sheetViews>
    <sheetView showGridLines="0" zoomScale="90" workbookViewId="0">
      <selection activeCell="A1" sqref="A1"/>
    </sheetView>
  </sheetViews>
  <sheetFormatPr baseColWidth="8" defaultRowHeight="15"/>
  <cols>
    <col width="6" customWidth="1" min="1" max="1"/>
    <col width="150" customWidth="1" min="2" max="2"/>
  </cols>
  <sheetData>
    <row r="1" ht="22" customHeight="1">
      <c r="A1" s="1" t="inlineStr">
        <is>
          <t>Assumptions and notes</t>
        </is>
      </c>
    </row>
    <row r="2">
      <c r="A2" s="2" t="inlineStr">
        <is>
          <t>iorta TechNXT – proposal to Insurans Islam Family Takaful Sendirian Berhad – October 2026</t>
        </is>
      </c>
    </row>
    <row r="4" ht="20" customHeight="1">
      <c r="A4" s="6" t="inlineStr">
        <is>
          <t>#</t>
        </is>
      </c>
      <c r="B4" s="6" t="inlineStr">
        <is>
          <t>Assumption</t>
        </is>
      </c>
    </row>
    <row r="5">
      <c r="A5" s="13" t="n">
        <v>1</v>
      </c>
      <c r="B5" s="7" t="inlineStr">
        <is>
          <t>Option A sizing is taken from the Solution Architecture (Infrastructure Sizing) and is checked automatically against it when the BOM is built.</t>
        </is>
      </c>
    </row>
    <row r="6">
      <c r="A6" s="15" t="n">
        <v>2</v>
      </c>
      <c r="B6" s="14" t="inlineStr">
        <is>
          <t>Indicative infrastructure costs assume new virtual capacity and storage on the IITH platform; reuse of existing capacity reduces them. Physical hardware, if required, is quoted by IIFT's suppliers.</t>
        </is>
      </c>
    </row>
    <row r="7">
      <c r="A7" s="13" t="n">
        <v>3</v>
      </c>
      <c r="B7" s="7" t="inlineStr">
        <is>
          <t>Ubuntu Server 24.04 LTS is the baseline operating system (no licence fee); RHEL 9 is supported if IIFT prefers it, at IIFT's cost.</t>
        </is>
      </c>
    </row>
    <row r="8">
      <c r="A8" s="15" t="n">
        <v>4</v>
      </c>
      <c r="B8" s="14" t="inlineStr">
        <is>
          <t>SMS volume of about 6,000 messages a year (OTP and alerts) at B$0.05–0.10 per message.</t>
        </is>
      </c>
    </row>
    <row r="9">
      <c r="A9" s="13" t="n">
        <v>5</v>
      </c>
      <c r="B9" s="7" t="inlineStr">
        <is>
          <t>AML screening reuses IIFT's existing service or lists where possible; a new subscription is priced by the provider.</t>
        </is>
      </c>
    </row>
    <row r="10">
      <c r="A10" s="15" t="n">
        <v>6</v>
      </c>
      <c r="B10" s="14" t="inlineStr">
        <is>
          <t>Cloud estimates use public list prices for the Malaysia region converted at USD 1 = B$ 1.30; actual charges vary with usage and exchange rates.</t>
        </is>
      </c>
    </row>
    <row r="11">
      <c r="A11" s="13" t="n">
        <v>7</v>
      </c>
      <c r="B11" s="7" t="inlineStr">
        <is>
          <t>Escrow is an alternative to Option C (source code handover); agent fees are paid by IIFT.</t>
        </is>
      </c>
    </row>
    <row r="12">
      <c r="A12" s="15" t="n">
        <v>8</v>
      </c>
      <c r="B12" s="14" t="inlineStr">
        <is>
          <t>All amounts exclude iorta's fees, which are in the pricing workbook.</t>
        </is>
      </c>
    </row>
  </sheetData>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Proposal for Agent/Banca Portal &amp; Back-office Solution: Bill of Materials</dc:title>
  <dc:subject xmlns:dc="http://purl.org/dc/elements/1.1/">Bill of materials for Insurans Islam Family Takaful Sendirian Berhad</dc:subject>
  <dcterms:created xmlns:dcterms="http://purl.org/dc/terms/" xmlns:xsi="http://www.w3.org/2001/XMLSchema-instance" xsi:type="dcterms:W3CDTF">2026-10-03T03:30:02Z</dcterms:created>
  <dcterms:modified xmlns:dcterms="http://purl.org/dc/terms/" xmlns:xsi="http://www.w3.org/2001/XMLSchema-instance" xsi:type="dcterms:W3CDTF">2026-10-03T03:30:02Z</dcterms:modified>
  <cp:lastModifiedBy>iorta TechNXT</cp:lastModifiedBy>
</cp:coreProperties>
</file>