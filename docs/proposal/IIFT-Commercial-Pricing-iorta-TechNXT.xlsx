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lient format" sheetId="2" state="visible" r:id="rId2"/>
    <sheet xmlns:r="http://schemas.openxmlformats.org/officeDocument/2006/relationships" name="Option A" sheetId="3" state="visible" r:id="rId3"/>
    <sheet xmlns:r="http://schemas.openxmlformats.org/officeDocument/2006/relationships" name="Option B" sheetId="4" state="visible" r:id="rId4"/>
    <sheet xmlns:r="http://schemas.openxmlformats.org/officeDocument/2006/relationships" name="Option C" sheetId="5" state="visible" r:id="rId5"/>
    <sheet xmlns:r="http://schemas.openxmlformats.org/officeDocument/2006/relationships" name="RFP Section 10" sheetId="6" state="visible" r:id="rId6"/>
    <sheet xmlns:r="http://schemas.openxmlformats.org/officeDocument/2006/relationships" name="OPE" sheetId="7" state="visible" r:id="rId7"/>
    <sheet xmlns:r="http://schemas.openxmlformats.org/officeDocument/2006/relationships" name="Rate card" sheetId="8" state="visible" r:id="rId8"/>
    <sheet xmlns:r="http://schemas.openxmlformats.org/officeDocument/2006/relationships" name="Payment schedules" sheetId="9" state="visible" r:id="rId9"/>
    <sheet xmlns:r="http://schemas.openxmlformats.org/officeDocument/2006/relationships" name="Assumptions" sheetId="10" state="visible" r:id="rId10"/>
  </sheets>
  <definedNames/>
  <calcPr calcId="124519" fullCalcOnLoad="1"/>
</workbook>
</file>

<file path=xl/styles.xml><?xml version="1.0" encoding="utf-8"?>
<styleSheet xmlns="http://schemas.openxmlformats.org/spreadsheetml/2006/main">
  <numFmts count="2">
    <numFmt numFmtId="164" formatCode="#,##0;(#,##0);&quot;–&quot;"/>
    <numFmt numFmtId="165" formatCode="#,##0.00;(#,##0.00);&quot;–&quot;"/>
  </numFmts>
  <fonts count="7">
    <font>
      <name val="Calibri"/>
      <family val="2"/>
      <color theme="1"/>
      <sz val="11"/>
      <scheme val="minor"/>
    </font>
    <font>
      <name val="Arial"/>
      <b val="1"/>
      <color rgb="00E1058C"/>
      <sz val="15"/>
    </font>
    <font>
      <name val="Arial"/>
      <i val="1"/>
      <color rgb="006B6B6B"/>
      <sz val="9"/>
    </font>
    <font>
      <name val="Arial"/>
      <b val="1"/>
      <color rgb="00F58220"/>
      <sz val="11"/>
    </font>
    <font>
      <name val="Arial"/>
      <b val="1"/>
      <color rgb="00FFFFFF"/>
      <sz val="10"/>
    </font>
    <font>
      <name val="Arial"/>
      <color rgb="00333333"/>
      <sz val="10"/>
    </font>
    <font>
      <name val="Arial"/>
      <b val="1"/>
      <color rgb="00333333"/>
      <sz val="10"/>
    </font>
  </fonts>
  <fills count="7">
    <fill>
      <patternFill/>
    </fill>
    <fill>
      <patternFill patternType="gray125"/>
    </fill>
    <fill>
      <patternFill patternType="solid">
        <fgColor rgb="00E1058C"/>
      </patternFill>
    </fill>
    <fill>
      <patternFill patternType="solid">
        <fgColor rgb="00FDF0F7"/>
      </patternFill>
    </fill>
    <fill>
      <patternFill patternType="solid">
        <fgColor rgb="00FEEBDD"/>
      </patternFill>
    </fill>
    <fill>
      <patternFill patternType="solid">
        <fgColor rgb="00FFF9DB"/>
      </patternFill>
    </fill>
    <fill>
      <patternFill patternType="solid">
        <fgColor rgb="00FDF6EF"/>
      </patternFill>
    </fill>
  </fills>
  <borders count="6">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6" fillId="0" borderId="0" pivotButton="0" quotePrefix="0" xfId="0"/>
    <xf numFmtId="0" fontId="5" fillId="0" borderId="0" applyAlignment="1" pivotButton="0" quotePrefix="0" xfId="0">
      <alignment horizontal="left" vertical="top"/>
    </xf>
    <xf numFmtId="2" fontId="5" fillId="5" borderId="1" applyAlignment="1" pivotButton="0" quotePrefix="0" xfId="0">
      <alignment horizontal="left" vertical="top"/>
    </xf>
    <xf numFmtId="0" fontId="3" fillId="0" borderId="0" pivotButton="0" quotePrefix="0" xfId="0"/>
    <xf numFmtId="0" fontId="4" fillId="2" borderId="1" applyAlignment="1" pivotButton="0" quotePrefix="0" xfId="0">
      <alignment vertical="center" wrapText="1"/>
    </xf>
    <xf numFmtId="0" fontId="0" fillId="0" borderId="4" pivotButton="0" quotePrefix="0" xfId="0"/>
    <xf numFmtId="0" fontId="0" fillId="0" borderId="5" pivotButton="0" quotePrefix="0" xfId="0"/>
    <xf numFmtId="0" fontId="5" fillId="0" borderId="1" applyAlignment="1" pivotButton="0" quotePrefix="0" xfId="0">
      <alignment vertical="top" wrapText="1"/>
    </xf>
    <xf numFmtId="164" fontId="5" fillId="0" borderId="1" applyAlignment="1" pivotButton="0" quotePrefix="0" xfId="0">
      <alignment horizontal="right" vertical="top"/>
    </xf>
    <xf numFmtId="0" fontId="6" fillId="0" borderId="1" applyAlignment="1" pivotButton="0" quotePrefix="0" xfId="0">
      <alignment vertical="top" wrapText="1"/>
    </xf>
    <xf numFmtId="164" fontId="6" fillId="0" borderId="1" applyAlignment="1" pivotButton="0" quotePrefix="0" xfId="0">
      <alignment horizontal="right" vertical="top"/>
    </xf>
    <xf numFmtId="0" fontId="6" fillId="4" borderId="1" applyAlignment="1" pivotButton="0" quotePrefix="0" xfId="0">
      <alignment vertical="top" wrapText="1"/>
    </xf>
    <xf numFmtId="164" fontId="6" fillId="4" borderId="1" applyAlignment="1" pivotButton="0" quotePrefix="0" xfId="0">
      <alignment horizontal="right" vertical="top"/>
    </xf>
    <xf numFmtId="0" fontId="5" fillId="3" borderId="1" applyAlignment="1" pivotButton="0" quotePrefix="0" xfId="0">
      <alignment vertical="top" wrapText="1"/>
    </xf>
    <xf numFmtId="164" fontId="5" fillId="3" borderId="1" applyAlignment="1" pivotButton="0" quotePrefix="0" xfId="0">
      <alignment horizontal="right" vertical="top"/>
    </xf>
    <xf numFmtId="0" fontId="5" fillId="0" borderId="0" applyAlignment="1" pivotButton="0" quotePrefix="0" xfId="0">
      <alignment vertical="top" wrapText="1"/>
    </xf>
    <xf numFmtId="0" fontId="2" fillId="0" borderId="0" applyAlignment="1" pivotButton="0" quotePrefix="0" xfId="0">
      <alignment vertical="top" wrapText="1"/>
    </xf>
    <xf numFmtId="0" fontId="6" fillId="6" borderId="1" applyAlignment="1" pivotButton="0" quotePrefix="0" xfId="0">
      <alignment vertical="top" wrapText="1"/>
    </xf>
    <xf numFmtId="0" fontId="5" fillId="0" borderId="1" applyAlignment="1" pivotButton="0" quotePrefix="0" xfId="0">
      <alignment horizontal="center" vertical="top" wrapText="1"/>
    </xf>
    <xf numFmtId="0" fontId="6" fillId="4" borderId="1" applyAlignment="1" pivotButton="0" quotePrefix="0" xfId="0">
      <alignment horizontal="center" vertical="top" wrapText="1"/>
    </xf>
    <xf numFmtId="0" fontId="5" fillId="3" borderId="1" applyAlignment="1" pivotButton="0" quotePrefix="0" xfId="0">
      <alignment horizontal="center" vertical="top" wrapText="1"/>
    </xf>
    <xf numFmtId="9" fontId="5" fillId="5" borderId="1" applyAlignment="1" pivotButton="0" quotePrefix="0" xfId="0">
      <alignment horizontal="center" vertical="top"/>
    </xf>
    <xf numFmtId="9" fontId="5" fillId="0" borderId="1" applyAlignment="1" pivotButton="0" quotePrefix="0" xfId="0">
      <alignment horizontal="center" vertical="top"/>
    </xf>
    <xf numFmtId="165" fontId="5" fillId="0" borderId="1" applyAlignment="1" pivotButton="0" quotePrefix="0" xfId="0">
      <alignment horizontal="right" vertical="top"/>
    </xf>
    <xf numFmtId="165" fontId="5" fillId="3" borderId="1" applyAlignment="1" pivotButton="0" quotePrefix="0" xfId="0">
      <alignment horizontal="right" vertical="top"/>
    </xf>
    <xf numFmtId="164" fontId="5" fillId="5" borderId="1" applyAlignment="1" pivotButton="0" quotePrefix="0" xfId="0">
      <alignment horizontal="right" vertical="top"/>
    </xf>
    <xf numFmtId="9" fontId="6"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1724025" cy="533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E1058C"/>
    <outlinePr summaryBelow="1" summaryRight="1"/>
    <pageSetUpPr fitToPage="1"/>
  </sheetPr>
  <dimension ref="A4:H43"/>
  <sheetViews>
    <sheetView showGridLines="0" zoomScale="90" workbookViewId="0">
      <pane ySplit="6" topLeftCell="A7" activePane="bottomLeft" state="frozen"/>
      <selection pane="bottomLef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16" customHeight="1"/>
    <row r="2" ht="16" customHeight="1"/>
    <row r="3" ht="16" customHeight="1"/>
    <row r="4" ht="22" customHeight="1">
      <c r="A4" s="1" t="inlineStr">
        <is>
          <t>Proposal for Agent/Banca Portal &amp; Back-office Solution: commercial summary</t>
        </is>
      </c>
    </row>
    <row r="5">
      <c r="A5" s="2" t="inlineStr">
        <is>
          <t>iorta TechNXT – proposal to Insurans Islam Family Takaful Sendirian Berhad – October 2026</t>
        </is>
      </c>
    </row>
    <row r="7">
      <c r="A7" s="3" t="inlineStr">
        <is>
          <t>Client</t>
        </is>
      </c>
      <c r="C7" s="4" t="inlineStr">
        <is>
          <t>Insurans Islam Family Takaful Sendirian Berhad</t>
        </is>
      </c>
    </row>
    <row r="8">
      <c r="A8" s="3" t="inlineStr">
        <is>
          <t>Bidder</t>
        </is>
      </c>
      <c r="C8" s="4" t="inlineStr">
        <is>
          <t>iorta TechNXT</t>
        </is>
      </c>
    </row>
    <row r="9">
      <c r="A9" s="3" t="inlineStr">
        <is>
          <t>Solution</t>
        </is>
      </c>
      <c r="C9" s="4" t="inlineStr">
        <is>
          <t>SalesVerse 2.0, configured as the IIFT Agent/Banca Portal &amp; Back-office</t>
        </is>
      </c>
    </row>
    <row r="10">
      <c r="A10" s="3" t="inlineStr">
        <is>
          <t>Currency</t>
        </is>
      </c>
      <c r="C10" s="4" t="inlineStr">
        <is>
          <t>Brunei Dollar (B$); USD indicative</t>
        </is>
      </c>
    </row>
    <row r="11">
      <c r="A11" s="3" t="inlineStr">
        <is>
          <t>Indicative FX (B$ per USD 1)</t>
        </is>
      </c>
      <c r="C11" s="5" t="n">
        <v>1.3</v>
      </c>
    </row>
    <row r="12">
      <c r="A12" s="3" t="inlineStr">
        <is>
          <t>Quotation validity</t>
        </is>
      </c>
      <c r="C12" s="4" t="inlineStr">
        <is>
          <t>90 days from submission</t>
        </is>
      </c>
    </row>
    <row r="14" ht="18" customHeight="1">
      <c r="A14" s="6" t="inlineStr">
        <is>
          <t>1. Commercial options at a glance (B$)</t>
        </is>
      </c>
    </row>
    <row r="15" ht="44" customHeight="1">
      <c r="A15" s="7" t="inlineStr">
        <is>
          <t>Item</t>
        </is>
      </c>
      <c r="B15" s="7" t="inlineStr">
        <is>
          <t>Option A: on-premise perpetual licence</t>
        </is>
      </c>
      <c r="C15" s="7" t="inlineStr">
        <is>
          <t>Option B: subscription, iorta-hosted cloud</t>
        </is>
      </c>
      <c r="D15" s="7" t="inlineStr">
        <is>
          <t>Option C: source code handover (add-on)</t>
        </is>
      </c>
      <c r="E15" s="7" t="inlineStr">
        <is>
          <t>Notes</t>
        </is>
      </c>
      <c r="F15" s="8" t="n"/>
      <c r="G15" s="8" t="n"/>
      <c r="H15" s="9" t="n"/>
    </row>
    <row r="16">
      <c r="A16" s="10" t="inlineStr">
        <is>
          <t>One-time iorta fees</t>
        </is>
      </c>
      <c r="B16" s="11">
        <f>'Option A'!$F$14</f>
        <v/>
      </c>
      <c r="C16" s="11">
        <f>'Option B'!$F$15</f>
        <v/>
      </c>
      <c r="D16" s="11">
        <f>'Option C'!$D$8</f>
        <v/>
      </c>
      <c r="E16" s="10" t="inlineStr">
        <is>
          <t>A: licence + services; B: services + cloud set-up; C: source code + knowledge transfer</t>
        </is>
      </c>
      <c r="F16" s="8" t="n"/>
      <c r="G16" s="8" t="n"/>
      <c r="H16" s="9" t="n"/>
    </row>
    <row r="17">
      <c r="A17" s="10" t="inlineStr">
        <is>
          <t>Recurring iorta fees, Year 1</t>
        </is>
      </c>
      <c r="B17" s="11">
        <f>'Option A'!$F$33</f>
        <v/>
      </c>
      <c r="C17" s="11">
        <f>'Option B'!$G$19+'Option B'!$E$29</f>
        <v/>
      </c>
      <c r="D17" s="11">
        <f>'Option C'!$D$44</f>
        <v/>
      </c>
      <c r="E17" s="10" t="inlineStr">
        <is>
          <t>A: AMC; B: subscription + managed services; C: support choice 2 in place of the AMC</t>
        </is>
      </c>
      <c r="F17" s="8" t="n"/>
      <c r="G17" s="8" t="n"/>
      <c r="H17" s="9" t="n"/>
    </row>
    <row r="18">
      <c r="A18" s="10" t="inlineStr">
        <is>
          <t>Recurring iorta fees, Years 1–5</t>
        </is>
      </c>
      <c r="B18" s="11">
        <f>'Option A'!$F$38</f>
        <v/>
      </c>
      <c r="C18" s="11">
        <f>'Option B'!$G$24+'Option B'!$E$34</f>
        <v/>
      </c>
      <c r="D18" s="11">
        <f>'Option C'!$D$49</f>
        <v/>
      </c>
      <c r="E18" s="10" t="inlineStr">
        <is>
          <t>+5% a year (capped)</t>
        </is>
      </c>
      <c r="F18" s="8" t="n"/>
      <c r="G18" s="8" t="n"/>
      <c r="H18" s="9" t="n"/>
    </row>
    <row r="19">
      <c r="A19" s="12" t="inlineStr">
        <is>
          <t>iorta fees, five years</t>
        </is>
      </c>
      <c r="B19" s="13">
        <f>B16+B18</f>
        <v/>
      </c>
      <c r="C19" s="13">
        <f>C16+C18</f>
        <v/>
      </c>
      <c r="D19" s="13" t="n"/>
      <c r="E19" s="12" t="inlineStr"/>
      <c r="F19" s="8" t="n"/>
      <c r="G19" s="8" t="n"/>
      <c r="H19" s="9" t="n"/>
    </row>
    <row r="20">
      <c r="A20" s="10" t="inlineStr">
        <is>
          <t>OPE estimate, core onsite phases (disbursements at cost)</t>
        </is>
      </c>
      <c r="B20" s="11">
        <f>OPE!$L$25</f>
        <v/>
      </c>
      <c r="C20" s="11">
        <f>OPE!$L$25</f>
        <v/>
      </c>
      <c r="D20" s="11">
        <f>OPE!$L$26</f>
        <v/>
      </c>
      <c r="E20" s="10" t="inlineStr">
        <is>
          <t>C: optional onsite knowledge transfer</t>
        </is>
      </c>
      <c r="F20" s="8" t="n"/>
      <c r="G20" s="8" t="n"/>
      <c r="H20" s="9" t="n"/>
    </row>
    <row r="21">
      <c r="A21" s="10" t="inlineStr">
        <is>
          <t>Cloud infrastructure at cost, estimate (project + five years)</t>
        </is>
      </c>
      <c r="B21" s="11" t="n">
        <v>0</v>
      </c>
      <c r="C21" s="11">
        <f>'Option B'!$E$49</f>
        <v/>
      </c>
      <c r="D21" s="11" t="n"/>
      <c r="E21" s="10" t="inlineStr">
        <is>
          <t>Disbursement at cost without mark-up, or paid by IIFT directly</t>
        </is>
      </c>
      <c r="F21" s="8" t="n"/>
      <c r="G21" s="8" t="n"/>
      <c r="H21" s="9" t="n"/>
    </row>
    <row r="22">
      <c r="A22" s="14" t="inlineStr">
        <is>
          <t>Five-year total (B$)</t>
        </is>
      </c>
      <c r="B22" s="15">
        <f>B19+B20+B21</f>
        <v/>
      </c>
      <c r="C22" s="15">
        <f>C19+C20+C21</f>
        <v/>
      </c>
      <c r="D22" s="14" t="n"/>
      <c r="E22" s="14" t="inlineStr">
        <is>
          <t>Excludes infrastructure procured by IIFT and third-party charges (BOM)</t>
        </is>
      </c>
      <c r="F22" s="8" t="n"/>
      <c r="G22" s="8" t="n"/>
      <c r="H22" s="9" t="n"/>
    </row>
    <row r="23">
      <c r="A23" s="14" t="inlineStr">
        <is>
          <t>Five-year total (USD, indicative)</t>
        </is>
      </c>
      <c r="B23" s="15">
        <f>ROUND(B22/Summary!$C$11,0)</f>
        <v/>
      </c>
      <c r="C23" s="15">
        <f>ROUND(C22/Summary!$C$11,0)</f>
        <v/>
      </c>
      <c r="D23" s="14" t="n"/>
      <c r="E23" s="14" t="inlineStr"/>
      <c r="F23" s="8" t="n"/>
      <c r="G23" s="8" t="n"/>
      <c r="H23" s="9" t="n"/>
    </row>
    <row r="24">
      <c r="A24" s="10" t="inlineStr">
        <is>
          <t>Infrastructure procured by IIFT (Option A, indicative one-time, not included above)</t>
        </is>
      </c>
      <c r="B24" s="10" t="inlineStr">
        <is>
          <t>B$ 20,500–42,000</t>
        </is>
      </c>
      <c r="C24" s="10" t="inlineStr">
        <is>
          <t>–</t>
        </is>
      </c>
      <c r="D24" s="10" t="n"/>
      <c r="E24" s="10" t="inlineStr">
        <is>
          <t>See the Bill of Materials workbook</t>
        </is>
      </c>
      <c r="F24" s="8" t="n"/>
      <c r="G24" s="8" t="n"/>
      <c r="H24" s="9" t="n"/>
    </row>
    <row r="26" ht="18" customHeight="1">
      <c r="A26" s="6" t="inlineStr">
        <is>
          <t>2. Cash view by contract year (B$)</t>
        </is>
      </c>
    </row>
    <row r="27" ht="30" customHeight="1">
      <c r="A27" s="7" t="inlineStr">
        <is>
          <t>Period</t>
        </is>
      </c>
      <c r="B27" s="7" t="inlineStr">
        <is>
          <t>A: iorta fees</t>
        </is>
      </c>
      <c r="C27" s="7" t="inlineStr">
        <is>
          <t>A: OPE</t>
        </is>
      </c>
      <c r="D27" s="7" t="inlineStr">
        <is>
          <t>A: total</t>
        </is>
      </c>
      <c r="E27" s="7" t="inlineStr">
        <is>
          <t>B: iorta fees</t>
        </is>
      </c>
      <c r="F27" s="7" t="inlineStr">
        <is>
          <t>B: cloud at cost</t>
        </is>
      </c>
      <c r="G27" s="7" t="inlineStr">
        <is>
          <t>B: OPE</t>
        </is>
      </c>
      <c r="H27" s="7" t="inlineStr">
        <is>
          <t>B: total</t>
        </is>
      </c>
    </row>
    <row r="28">
      <c r="A28" s="10" t="inlineStr">
        <is>
          <t>Year 0 (implementation, weeks 1–28)</t>
        </is>
      </c>
      <c r="B28" s="11">
        <f>'Option A'!$F$14</f>
        <v/>
      </c>
      <c r="C28" s="11">
        <f>OPE!$L$25</f>
        <v/>
      </c>
      <c r="D28" s="11">
        <f>B28+C28</f>
        <v/>
      </c>
      <c r="E28" s="11">
        <f>'Option B'!$F$15</f>
        <v/>
      </c>
      <c r="F28" s="11">
        <f>'Option B'!$E$48</f>
        <v/>
      </c>
      <c r="G28" s="11">
        <f>OPE!$L$25</f>
        <v/>
      </c>
      <c r="H28" s="11">
        <f>E28+F28+G28</f>
        <v/>
      </c>
    </row>
    <row r="29">
      <c r="A29" s="16" t="inlineStr">
        <is>
          <t>Year 1</t>
        </is>
      </c>
      <c r="B29" s="17">
        <f>'Option A'!$F$33</f>
        <v/>
      </c>
      <c r="C29" s="17" t="n">
        <v>0</v>
      </c>
      <c r="D29" s="17">
        <f>B29+C29</f>
        <v/>
      </c>
      <c r="E29" s="17">
        <f>'Option B'!$G$19+'Option B'!$E$29</f>
        <v/>
      </c>
      <c r="F29" s="17">
        <f>'Option B'!$E$47</f>
        <v/>
      </c>
      <c r="G29" s="17" t="n">
        <v>0</v>
      </c>
      <c r="H29" s="17">
        <f>E29+F29+G29</f>
        <v/>
      </c>
    </row>
    <row r="30">
      <c r="A30" s="10" t="inlineStr">
        <is>
          <t>Year 2</t>
        </is>
      </c>
      <c r="B30" s="11">
        <f>'Option A'!$F$34</f>
        <v/>
      </c>
      <c r="C30" s="11" t="n">
        <v>0</v>
      </c>
      <c r="D30" s="11">
        <f>B30+C30</f>
        <v/>
      </c>
      <c r="E30" s="11">
        <f>'Option B'!$G$20+'Option B'!$E$30</f>
        <v/>
      </c>
      <c r="F30" s="11">
        <f>'Option B'!$E$47</f>
        <v/>
      </c>
      <c r="G30" s="11" t="n">
        <v>0</v>
      </c>
      <c r="H30" s="11">
        <f>E30+F30+G30</f>
        <v/>
      </c>
    </row>
    <row r="31">
      <c r="A31" s="16" t="inlineStr">
        <is>
          <t>Year 3</t>
        </is>
      </c>
      <c r="B31" s="17">
        <f>'Option A'!$F$35</f>
        <v/>
      </c>
      <c r="C31" s="17" t="n">
        <v>0</v>
      </c>
      <c r="D31" s="17">
        <f>B31+C31</f>
        <v/>
      </c>
      <c r="E31" s="17">
        <f>'Option B'!$G$21+'Option B'!$E$31</f>
        <v/>
      </c>
      <c r="F31" s="17">
        <f>'Option B'!$E$47</f>
        <v/>
      </c>
      <c r="G31" s="17" t="n">
        <v>0</v>
      </c>
      <c r="H31" s="17">
        <f>E31+F31+G31</f>
        <v/>
      </c>
    </row>
    <row r="32">
      <c r="A32" s="10" t="inlineStr">
        <is>
          <t>Year 4</t>
        </is>
      </c>
      <c r="B32" s="11">
        <f>'Option A'!$F$36</f>
        <v/>
      </c>
      <c r="C32" s="11" t="n">
        <v>0</v>
      </c>
      <c r="D32" s="11">
        <f>B32+C32</f>
        <v/>
      </c>
      <c r="E32" s="11">
        <f>'Option B'!$G$22+'Option B'!$E$32</f>
        <v/>
      </c>
      <c r="F32" s="11">
        <f>'Option B'!$E$47</f>
        <v/>
      </c>
      <c r="G32" s="11" t="n">
        <v>0</v>
      </c>
      <c r="H32" s="11">
        <f>E32+F32+G32</f>
        <v/>
      </c>
    </row>
    <row r="33">
      <c r="A33" s="16" t="inlineStr">
        <is>
          <t>Year 5</t>
        </is>
      </c>
      <c r="B33" s="17">
        <f>'Option A'!$F$37</f>
        <v/>
      </c>
      <c r="C33" s="17" t="n">
        <v>0</v>
      </c>
      <c r="D33" s="17">
        <f>B33+C33</f>
        <v/>
      </c>
      <c r="E33" s="17">
        <f>'Option B'!$G$23+'Option B'!$E$33</f>
        <v/>
      </c>
      <c r="F33" s="17">
        <f>'Option B'!$E$47</f>
        <v/>
      </c>
      <c r="G33" s="17" t="n">
        <v>0</v>
      </c>
      <c r="H33" s="17">
        <f>E33+F33+G33</f>
        <v/>
      </c>
    </row>
    <row r="34">
      <c r="A34" s="14" t="inlineStr">
        <is>
          <t>Total</t>
        </is>
      </c>
      <c r="B34" s="15">
        <f>SUM(B28:B33)</f>
        <v/>
      </c>
      <c r="C34" s="15">
        <f>SUM(C28:C33)</f>
        <v/>
      </c>
      <c r="D34" s="15">
        <f>SUM(D28:D33)</f>
        <v/>
      </c>
      <c r="E34" s="15">
        <f>SUM(E28:E33)</f>
        <v/>
      </c>
      <c r="F34" s="15">
        <f>SUM(F28:F33)</f>
        <v/>
      </c>
      <c r="G34" s="15">
        <f>SUM(G28:G33)</f>
        <v/>
      </c>
      <c r="H34" s="15">
        <f>SUM(H28:H33)</f>
        <v/>
      </c>
    </row>
    <row r="36" ht="18" customHeight="1">
      <c r="A36" s="6" t="inlineStr">
        <is>
          <t>3. Fee basis</t>
        </is>
      </c>
    </row>
    <row r="37" ht="13" customHeight="1">
      <c r="A37" s="18" t="inlineStr">
        <is>
          <t>•  WHT: inclusive. Where Brunei law requires IIFT to withhold tax from iorta's fees, IIFT deducts and remits it; iorta bears the tax and invoices are not grossed up.</t>
        </is>
      </c>
    </row>
    <row r="38" ht="26" customHeight="1">
      <c r="A38" s="18" t="inlineStr">
        <is>
          <t>•  Cloud infrastructure (Option B) and OPE are recharged at cost as disbursements with the provider and travel invoices attached, outside the fees to which WHT applies. IIFT may instead hold the cloud account in its own name and pay the provider directly.</t>
        </is>
      </c>
    </row>
    <row r="39" ht="13" customHeight="1">
      <c r="A39" s="18" t="inlineStr">
        <is>
          <t>•  OPE: exclusive. Recharged at cost for the onsite phases (OPE sheet); per diem fixed at USD 50 a day; not more than 10% above the estimate without IIFT's approval.</t>
        </is>
      </c>
    </row>
    <row r="40" ht="13" customHeight="1">
      <c r="A40" s="18" t="inlineStr">
        <is>
          <t>•  Third-party charges and infrastructure: exclusive. Listed in the Bill of Materials; paid by IIFT or passed through at cost without mark-up.</t>
        </is>
      </c>
    </row>
    <row r="41" ht="13" customHeight="1">
      <c r="A41" s="18" t="inlineStr">
        <is>
          <t>•  Recurring fees (AMC, subscription, managed services, rate card) rise by 5% a year, capped at 5% (COM-18).</t>
        </is>
      </c>
    </row>
    <row r="42" ht="13" customHeight="1">
      <c r="A42" s="18" t="inlineStr">
        <is>
          <t>•  No GST or VAT applies in Brunei Darussalam at present; any indirect tax introduced by law is added at the statutory rate.</t>
        </is>
      </c>
    </row>
    <row r="43" ht="13" customHeight="1">
      <c r="A43" s="18" t="inlineStr">
        <is>
          <t>•  Recommended: Option A (data stays in Brunei; lowest five-year cost). Option B for a lower upfront payment; convertible to Option A during the term.</t>
        </is>
      </c>
    </row>
  </sheetData>
  <mergeCells count="17">
    <mergeCell ref="E17:H17"/>
    <mergeCell ref="E18:H18"/>
    <mergeCell ref="E23:H23"/>
    <mergeCell ref="A39:H39"/>
    <mergeCell ref="A43:H43"/>
    <mergeCell ref="A38:H38"/>
    <mergeCell ref="E20:H20"/>
    <mergeCell ref="E21:H21"/>
    <mergeCell ref="E16:H16"/>
    <mergeCell ref="A40:H40"/>
    <mergeCell ref="E15:H15"/>
    <mergeCell ref="A41:H41"/>
    <mergeCell ref="A42:H42"/>
    <mergeCell ref="A37:H37"/>
    <mergeCell ref="E19:H19"/>
    <mergeCell ref="E24:H24"/>
    <mergeCell ref="E22:H22"/>
  </mergeCells>
  <printOptions horizontalCentered="1"/>
  <pageMargins left="0.4" right="0.4" top="0.6" bottom="0.6" header="0.5" footer="0.5"/>
  <pageSetup orientation="landscape" paperSize="9" fitToHeight="1" fitToWidth="1"/>
  <headerFooter>
    <oddHeader>&amp;R&amp;8 iorta TechNXT | IIFT Agent/Banca Portal &amp; Back-office</oddHeader>
    <oddFooter>&amp;L&amp;8 Commercial-in-Confidence&amp;R&amp;8 &amp;A |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F58220"/>
    <outlinePr summaryBelow="1" summaryRight="1"/>
    <pageSetUpPr fitToPage="1"/>
  </sheetPr>
  <dimension ref="A1:G34"/>
  <sheetViews>
    <sheetView showGridLines="0" zoomScale="90" workbookViewId="0">
      <pane ySplit="3" topLeftCell="A4" activePane="bottomLeft" state="frozen"/>
      <selection pane="bottomLeft" activeCell="A1" sqref="A1"/>
    </sheetView>
  </sheetViews>
  <sheetFormatPr baseColWidth="8" defaultRowHeight="15"/>
  <cols>
    <col width="62" customWidth="1" min="1" max="1"/>
    <col width="15" customWidth="1" min="2" max="2"/>
    <col width="15" customWidth="1" min="3" max="3"/>
    <col width="13" customWidth="1" min="4" max="4"/>
    <col width="13" customWidth="1" min="5" max="5"/>
    <col width="15" customWidth="1" min="6" max="6"/>
    <col width="15" customWidth="1" min="7" max="7"/>
  </cols>
  <sheetData>
    <row r="1" ht="22" customHeight="1">
      <c r="A1" s="1" t="inlineStr">
        <is>
          <t>Fees in IIFT's requested format (Description | Fee | WHT | OPE | Total)</t>
        </is>
      </c>
    </row>
    <row r="2">
      <c r="A2" s="2" t="inlineStr">
        <is>
          <t>iorta TechNXT – proposal to Insurans Islam Family Takaful Sendirian Berhad – October 2026</t>
        </is>
      </c>
    </row>
    <row r="4" ht="26" customHeight="1">
      <c r="A4" s="19" t="inlineStr">
        <is>
          <t>All fees are inclusive of WHT, exclusive of OPE (recharged at cost as disbursements; estimate shown) and exclusive of third-party charges and infrastructure (Bill of Materials). USD indicative at the rate on the Summary sheet.</t>
        </is>
      </c>
    </row>
    <row r="6" ht="18" customHeight="1">
      <c r="A6" s="6" t="inlineStr">
        <is>
          <t>Option A – On-premise perpetual licence</t>
        </is>
      </c>
    </row>
    <row r="7" ht="20" customHeight="1">
      <c r="A7" s="7" t="inlineStr">
        <is>
          <t>Description</t>
        </is>
      </c>
      <c r="B7" s="7" t="inlineStr">
        <is>
          <t>Fee (B$)</t>
        </is>
      </c>
      <c r="C7" s="7" t="inlineStr">
        <is>
          <t>Fee (USD)</t>
        </is>
      </c>
      <c r="D7" s="7" t="inlineStr">
        <is>
          <t>WHT</t>
        </is>
      </c>
      <c r="E7" s="7" t="inlineStr">
        <is>
          <t>OPE</t>
        </is>
      </c>
      <c r="F7" s="7" t="inlineStr">
        <is>
          <t>Total (B$)</t>
        </is>
      </c>
      <c r="G7" s="7" t="inlineStr">
        <is>
          <t>Total (USD)</t>
        </is>
      </c>
    </row>
    <row r="8">
      <c r="A8" s="20" t="inlineStr">
        <is>
          <t>One-time fees (licence and services)</t>
        </is>
      </c>
      <c r="B8" s="20" t="n"/>
      <c r="C8" s="20" t="n"/>
      <c r="D8" s="20" t="n"/>
      <c r="E8" s="20" t="n"/>
      <c r="F8" s="20" t="n"/>
      <c r="G8" s="20" t="n"/>
    </row>
    <row r="9">
      <c r="A9" s="10" t="inlineStr">
        <is>
          <t>Agent/Banca Portal</t>
        </is>
      </c>
      <c r="B9" s="11">
        <f>'Option A'!$D$14</f>
        <v/>
      </c>
      <c r="C9" s="11">
        <f>ROUND(B9/Summary!$C$11,0)</f>
        <v/>
      </c>
      <c r="D9" s="21" t="inlineStr">
        <is>
          <t>Inclusive</t>
        </is>
      </c>
      <c r="E9" s="21" t="inlineStr">
        <is>
          <t>Excluded</t>
        </is>
      </c>
      <c r="F9" s="11">
        <f>B9</f>
        <v/>
      </c>
      <c r="G9" s="11">
        <f>ROUND(F9/Summary!$C$11,0)</f>
        <v/>
      </c>
    </row>
    <row r="10">
      <c r="A10" s="10" t="inlineStr">
        <is>
          <t>Back-office solution</t>
        </is>
      </c>
      <c r="B10" s="11">
        <f>'Option A'!$E$14</f>
        <v/>
      </c>
      <c r="C10" s="11">
        <f>ROUND(B10/Summary!$C$11,0)</f>
        <v/>
      </c>
      <c r="D10" s="21" t="inlineStr">
        <is>
          <t>Inclusive</t>
        </is>
      </c>
      <c r="E10" s="21" t="inlineStr">
        <is>
          <t>Excluded</t>
        </is>
      </c>
      <c r="F10" s="11">
        <f>B10</f>
        <v/>
      </c>
      <c r="G10" s="11">
        <f>ROUND(F10/Summary!$C$11,0)</f>
        <v/>
      </c>
    </row>
    <row r="11">
      <c r="A11" s="14" t="inlineStr">
        <is>
          <t>Total one-time fees</t>
        </is>
      </c>
      <c r="B11" s="15">
        <f>B9+B10</f>
        <v/>
      </c>
      <c r="C11" s="15">
        <f>ROUND(B11/Summary!$C$11,0)</f>
        <v/>
      </c>
      <c r="D11" s="22" t="inlineStr">
        <is>
          <t>Inclusive</t>
        </is>
      </c>
      <c r="E11" s="22" t="inlineStr">
        <is>
          <t>Excluded</t>
        </is>
      </c>
      <c r="F11" s="15">
        <f>F9+F10</f>
        <v/>
      </c>
      <c r="G11" s="15">
        <f>ROUND(F11/Summary!$C$11,0)</f>
        <v/>
      </c>
    </row>
    <row r="12">
      <c r="A12" s="20" t="inlineStr">
        <is>
          <t>Annual maintenance (AMC), Year 1 – 22% of licence and customisation, +5% a year</t>
        </is>
      </c>
      <c r="B12" s="20" t="n"/>
      <c r="C12" s="20" t="n"/>
      <c r="D12" s="20" t="n"/>
      <c r="E12" s="20" t="n"/>
      <c r="F12" s="20" t="n"/>
      <c r="G12" s="20" t="n"/>
    </row>
    <row r="13">
      <c r="A13" s="10" t="inlineStr">
        <is>
          <t>Agent/Banca Portal</t>
        </is>
      </c>
      <c r="B13" s="11">
        <f>'Option A'!$D$33</f>
        <v/>
      </c>
      <c r="C13" s="11">
        <f>ROUND(B13/Summary!$C$11,0)</f>
        <v/>
      </c>
      <c r="D13" s="21" t="inlineStr">
        <is>
          <t>Inclusive</t>
        </is>
      </c>
      <c r="E13" s="21" t="inlineStr">
        <is>
          <t>Excluded</t>
        </is>
      </c>
      <c r="F13" s="11">
        <f>B13</f>
        <v/>
      </c>
      <c r="G13" s="11">
        <f>ROUND(F13/Summary!$C$11,0)</f>
        <v/>
      </c>
    </row>
    <row r="14">
      <c r="A14" s="10" t="inlineStr">
        <is>
          <t>Back-office solution</t>
        </is>
      </c>
      <c r="B14" s="11">
        <f>'Option A'!$E$33</f>
        <v/>
      </c>
      <c r="C14" s="11">
        <f>ROUND(B14/Summary!$C$11,0)</f>
        <v/>
      </c>
      <c r="D14" s="21" t="inlineStr">
        <is>
          <t>Inclusive</t>
        </is>
      </c>
      <c r="E14" s="21" t="inlineStr">
        <is>
          <t>Excluded</t>
        </is>
      </c>
      <c r="F14" s="11">
        <f>B14</f>
        <v/>
      </c>
      <c r="G14" s="11">
        <f>ROUND(F14/Summary!$C$11,0)</f>
        <v/>
      </c>
    </row>
    <row r="15">
      <c r="A15" s="14" t="inlineStr">
        <is>
          <t>Total AMC, Year 1</t>
        </is>
      </c>
      <c r="B15" s="15">
        <f>B13+B14</f>
        <v/>
      </c>
      <c r="C15" s="15">
        <f>ROUND(B15/Summary!$C$11,0)</f>
        <v/>
      </c>
      <c r="D15" s="22" t="inlineStr">
        <is>
          <t>Inclusive</t>
        </is>
      </c>
      <c r="E15" s="22" t="inlineStr">
        <is>
          <t>Excluded</t>
        </is>
      </c>
      <c r="F15" s="15">
        <f>F13+F14</f>
        <v/>
      </c>
      <c r="G15" s="15">
        <f>ROUND(F15/Summary!$C$11,0)</f>
        <v/>
      </c>
    </row>
    <row r="16">
      <c r="A16" s="20" t="inlineStr">
        <is>
          <t>Out-of-pocket expenses – disbursements at cost</t>
        </is>
      </c>
      <c r="B16" s="20" t="n"/>
      <c r="C16" s="20" t="n"/>
      <c r="D16" s="20" t="n"/>
      <c r="E16" s="20" t="n"/>
      <c r="F16" s="20" t="n"/>
      <c r="G16" s="20" t="n"/>
    </row>
    <row r="17">
      <c r="A17" s="10" t="inlineStr">
        <is>
          <t>OPE estimate for the onsite phases (travel, accommodation, per diem, insurance, transfers, visas)</t>
        </is>
      </c>
      <c r="B17" s="11" t="n"/>
      <c r="C17" s="11" t="n"/>
      <c r="D17" s="21" t="inlineStr">
        <is>
          <t>–</t>
        </is>
      </c>
      <c r="E17" s="11">
        <f>OPE!$L$25</f>
        <v/>
      </c>
      <c r="F17" s="11">
        <f>E17</f>
        <v/>
      </c>
      <c r="G17" s="11">
        <f>ROUND(F17/Summary!$C$11,0)</f>
        <v/>
      </c>
    </row>
    <row r="19" ht="18" customHeight="1">
      <c r="A19" s="6" t="inlineStr">
        <is>
          <t>Option B – Subscription, hosted and managed by iorta</t>
        </is>
      </c>
    </row>
    <row r="20" ht="20" customHeight="1">
      <c r="A20" s="7" t="inlineStr">
        <is>
          <t>Description</t>
        </is>
      </c>
      <c r="B20" s="7" t="inlineStr">
        <is>
          <t>Fee (B$)</t>
        </is>
      </c>
      <c r="C20" s="7" t="inlineStr">
        <is>
          <t>Fee (USD)</t>
        </is>
      </c>
      <c r="D20" s="7" t="inlineStr">
        <is>
          <t>WHT</t>
        </is>
      </c>
      <c r="E20" s="7" t="inlineStr">
        <is>
          <t>OPE</t>
        </is>
      </c>
      <c r="F20" s="7" t="inlineStr">
        <is>
          <t>Total (B$)</t>
        </is>
      </c>
      <c r="G20" s="7" t="inlineStr">
        <is>
          <t>Total (USD)</t>
        </is>
      </c>
    </row>
    <row r="21">
      <c r="A21" s="20" t="inlineStr">
        <is>
          <t>One-time fees (services)</t>
        </is>
      </c>
      <c r="B21" s="20" t="n"/>
      <c r="C21" s="20" t="n"/>
      <c r="D21" s="20" t="n"/>
      <c r="E21" s="20" t="n"/>
      <c r="F21" s="20" t="n"/>
      <c r="G21" s="20" t="n"/>
    </row>
    <row r="22">
      <c r="A22" s="10" t="inlineStr">
        <is>
          <t>Agent/Banca Portal</t>
        </is>
      </c>
      <c r="B22" s="11">
        <f>'Option B'!$D$13</f>
        <v/>
      </c>
      <c r="C22" s="11">
        <f>ROUND(B22/Summary!$C$11,0)</f>
        <v/>
      </c>
      <c r="D22" s="21" t="inlineStr">
        <is>
          <t>Inclusive</t>
        </is>
      </c>
      <c r="E22" s="21" t="inlineStr">
        <is>
          <t>Excluded</t>
        </is>
      </c>
      <c r="F22" s="11">
        <f>B22</f>
        <v/>
      </c>
      <c r="G22" s="11">
        <f>ROUND(F22/Summary!$C$11,0)</f>
        <v/>
      </c>
    </row>
    <row r="23">
      <c r="A23" s="10" t="inlineStr">
        <is>
          <t>Back-office solution</t>
        </is>
      </c>
      <c r="B23" s="11">
        <f>'Option B'!$E$13</f>
        <v/>
      </c>
      <c r="C23" s="11">
        <f>ROUND(B23/Summary!$C$11,0)</f>
        <v/>
      </c>
      <c r="D23" s="21" t="inlineStr">
        <is>
          <t>Inclusive</t>
        </is>
      </c>
      <c r="E23" s="21" t="inlineStr">
        <is>
          <t>Excluded</t>
        </is>
      </c>
      <c r="F23" s="11">
        <f>B23</f>
        <v/>
      </c>
      <c r="G23" s="11">
        <f>ROUND(F23/Summary!$C$11,0)</f>
        <v/>
      </c>
    </row>
    <row r="24">
      <c r="A24" s="10" t="inlineStr">
        <is>
          <t>Cloud set-up, platform (landing zone, environments, monitoring, backups, DR)</t>
        </is>
      </c>
      <c r="B24" s="11">
        <f>'Option B'!$F$14</f>
        <v/>
      </c>
      <c r="C24" s="11">
        <f>ROUND(B24/Summary!$C$11,0)</f>
        <v/>
      </c>
      <c r="D24" s="21" t="inlineStr">
        <is>
          <t>Inclusive</t>
        </is>
      </c>
      <c r="E24" s="21" t="inlineStr">
        <is>
          <t>Excluded</t>
        </is>
      </c>
      <c r="F24" s="11">
        <f>B24</f>
        <v/>
      </c>
      <c r="G24" s="11">
        <f>ROUND(F24/Summary!$C$11,0)</f>
        <v/>
      </c>
    </row>
    <row r="25">
      <c r="A25" s="14" t="inlineStr">
        <is>
          <t>Total one-time fees</t>
        </is>
      </c>
      <c r="B25" s="15">
        <f>B22+B23+B24</f>
        <v/>
      </c>
      <c r="C25" s="15">
        <f>ROUND(B25/Summary!$C$11,0)</f>
        <v/>
      </c>
      <c r="D25" s="22" t="inlineStr">
        <is>
          <t>Inclusive</t>
        </is>
      </c>
      <c r="E25" s="22" t="inlineStr">
        <is>
          <t>Excluded</t>
        </is>
      </c>
      <c r="F25" s="15">
        <f>F22+F23+F24</f>
        <v/>
      </c>
      <c r="G25" s="15">
        <f>ROUND(F25/Summary!$C$11,0)</f>
        <v/>
      </c>
    </row>
    <row r="26">
      <c r="A26" s="20" t="inlineStr">
        <is>
          <t>Recurring fees, Year 1 – +5% a year</t>
        </is>
      </c>
      <c r="B26" s="20" t="n"/>
      <c r="C26" s="20" t="n"/>
      <c r="D26" s="20" t="n"/>
      <c r="E26" s="20" t="n"/>
      <c r="F26" s="20" t="n"/>
      <c r="G26" s="20" t="n"/>
    </row>
    <row r="27">
      <c r="A27" s="10" t="inlineStr">
        <is>
          <t>Agent/Banca Portal subscription (B$ 1,850 a month)</t>
        </is>
      </c>
      <c r="B27" s="11">
        <f>'Option B'!$D$19*12</f>
        <v/>
      </c>
      <c r="C27" s="11">
        <f>ROUND(B27/Summary!$C$11,0)</f>
        <v/>
      </c>
      <c r="D27" s="21" t="inlineStr">
        <is>
          <t>Inclusive</t>
        </is>
      </c>
      <c r="E27" s="21" t="inlineStr">
        <is>
          <t>Excluded</t>
        </is>
      </c>
      <c r="F27" s="11">
        <f>B27</f>
        <v/>
      </c>
      <c r="G27" s="11">
        <f>ROUND(F27/Summary!$C$11,0)</f>
        <v/>
      </c>
    </row>
    <row r="28">
      <c r="A28" s="10" t="inlineStr">
        <is>
          <t>Back-office solution subscription (B$ 1,550 a month)</t>
        </is>
      </c>
      <c r="B28" s="11">
        <f>'Option B'!$E$19*12</f>
        <v/>
      </c>
      <c r="C28" s="11">
        <f>ROUND(B28/Summary!$C$11,0)</f>
        <v/>
      </c>
      <c r="D28" s="21" t="inlineStr">
        <is>
          <t>Inclusive</t>
        </is>
      </c>
      <c r="E28" s="21" t="inlineStr">
        <is>
          <t>Excluded</t>
        </is>
      </c>
      <c r="F28" s="11">
        <f>B28</f>
        <v/>
      </c>
      <c r="G28" s="11">
        <f>ROUND(F28/Summary!$C$11,0)</f>
        <v/>
      </c>
    </row>
    <row r="29">
      <c r="A29" s="10" t="inlineStr">
        <is>
          <t>Managed services, platform (B$ 1,100 a month)</t>
        </is>
      </c>
      <c r="B29" s="11">
        <f>'Option B'!$E$29</f>
        <v/>
      </c>
      <c r="C29" s="11">
        <f>ROUND(B29/Summary!$C$11,0)</f>
        <v/>
      </c>
      <c r="D29" s="21" t="inlineStr">
        <is>
          <t>Inclusive</t>
        </is>
      </c>
      <c r="E29" s="21" t="inlineStr">
        <is>
          <t>Excluded</t>
        </is>
      </c>
      <c r="F29" s="11">
        <f>B29</f>
        <v/>
      </c>
      <c r="G29" s="11">
        <f>ROUND(F29/Summary!$C$11,0)</f>
        <v/>
      </c>
    </row>
    <row r="30">
      <c r="A30" s="14" t="inlineStr">
        <is>
          <t>Total recurring fees, Year 1</t>
        </is>
      </c>
      <c r="B30" s="15">
        <f>B27+B28+B29</f>
        <v/>
      </c>
      <c r="C30" s="15">
        <f>ROUND(B30/Summary!$C$11,0)</f>
        <v/>
      </c>
      <c r="D30" s="22" t="inlineStr">
        <is>
          <t>Inclusive</t>
        </is>
      </c>
      <c r="E30" s="22" t="inlineStr">
        <is>
          <t>Excluded</t>
        </is>
      </c>
      <c r="F30" s="15">
        <f>F27+F28+F29</f>
        <v/>
      </c>
      <c r="G30" s="15">
        <f>ROUND(F30/Summary!$C$11,0)</f>
        <v/>
      </c>
    </row>
    <row r="31">
      <c r="A31" s="20" t="inlineStr">
        <is>
          <t>Out-of-pocket expenses – disbursements at cost</t>
        </is>
      </c>
      <c r="B31" s="20" t="n"/>
      <c r="C31" s="20" t="n"/>
      <c r="D31" s="20" t="n"/>
      <c r="E31" s="20" t="n"/>
      <c r="F31" s="20" t="n"/>
      <c r="G31" s="20" t="n"/>
    </row>
    <row r="32">
      <c r="A32" s="10" t="inlineStr">
        <is>
          <t>OPE estimate for the onsite phases (travel, accommodation, per diem, insurance, transfers, visas)</t>
        </is>
      </c>
      <c r="B32" s="11" t="n"/>
      <c r="C32" s="11" t="n"/>
      <c r="D32" s="21" t="inlineStr">
        <is>
          <t>–</t>
        </is>
      </c>
      <c r="E32" s="11">
        <f>OPE!$L$25</f>
        <v/>
      </c>
      <c r="F32" s="11">
        <f>E32</f>
        <v/>
      </c>
      <c r="G32" s="11">
        <f>ROUND(F32/Summary!$C$11,0)</f>
        <v/>
      </c>
    </row>
    <row r="34" ht="26" customHeight="1">
      <c r="A34" s="19" t="inlineStr">
        <is>
          <t>Cloud infrastructure (Option B) is excluded and recharged at cost as a disbursement (or paid by IIFT directly): estimate B$ 1,330 a month plus B$ 1,500 for project environments (Option B sheet). Option C (source code handover) is on its own sheet.</t>
        </is>
      </c>
    </row>
  </sheetData>
  <mergeCells count="2">
    <mergeCell ref="A34:G34"/>
    <mergeCell ref="A4:G4"/>
  </mergeCells>
  <printOptions horizontalCentered="1"/>
  <pageMargins left="0.4" right="0.4" top="0.6" bottom="0.6" header="0.5" footer="0.5"/>
  <pageSetup orientation="landscape" paperSize="9" fitToHeight="0" fitToWidth="1"/>
  <headerFooter>
    <oddHeader>&amp;R&amp;8 iorta TechNXT | IIFT Agent/Banca Portal &amp; Back-office</oddHeader>
    <oddFooter>&amp;L&amp;8 Commercial-in-Confidence&amp;R&amp;8 &amp;A | Page &amp;P of &amp;N</oddFooter>
    <evenHeader/>
    <evenFooter/>
    <firstHeader/>
    <firstFooter/>
  </headerFooter>
</worksheet>
</file>

<file path=xl/worksheets/sheet3.xml><?xml version="1.0" encoding="utf-8"?>
<worksheet xmlns="http://schemas.openxmlformats.org/spreadsheetml/2006/main">
  <sheetPr>
    <tabColor rgb="00F58220"/>
    <outlinePr summaryBelow="1" summaryRight="1"/>
    <pageSetUpPr fitToPage="1"/>
  </sheetPr>
  <dimension ref="A1:H56"/>
  <sheetViews>
    <sheetView showGridLines="0" zoomScale="90"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16" customWidth="1" min="3" max="3"/>
    <col width="15" customWidth="1" min="4" max="4"/>
    <col width="15" customWidth="1" min="5" max="5"/>
    <col width="15" customWidth="1" min="6" max="6"/>
    <col width="13" customWidth="1" min="7" max="7"/>
    <col width="80" customWidth="1" min="8" max="8"/>
  </cols>
  <sheetData>
    <row r="1" ht="22" customHeight="1">
      <c r="A1" s="1" t="inlineStr">
        <is>
          <t>Option A – On-premise perpetual licence: licence, implementation and annual maintenance</t>
        </is>
      </c>
    </row>
    <row r="2">
      <c r="A2" s="2" t="inlineStr">
        <is>
          <t>iorta TechNXT – proposal to Insurans Islam Family Takaful Sendirian Berhad – October 2026</t>
        </is>
      </c>
    </row>
    <row r="4" ht="18" customHeight="1">
      <c r="A4" s="6" t="inlineStr">
        <is>
          <t>1. One-time fees (RFP section 10 numbering)</t>
        </is>
      </c>
    </row>
    <row r="5" ht="30" customHeight="1">
      <c r="A5" s="7" t="inlineStr">
        <is>
          <t>No</t>
        </is>
      </c>
      <c r="B5" s="7" t="inlineStr">
        <is>
          <t>Component</t>
        </is>
      </c>
      <c r="C5" s="7" t="inlineStr">
        <is>
          <t>Basis</t>
        </is>
      </c>
      <c r="D5" s="7" t="inlineStr">
        <is>
          <t>Agent/Banca Portal (B$)</t>
        </is>
      </c>
      <c r="E5" s="7" t="inlineStr">
        <is>
          <t>Back-office (B$)</t>
        </is>
      </c>
      <c r="F5" s="7" t="inlineStr">
        <is>
          <t>Total (B$)</t>
        </is>
      </c>
      <c r="G5" s="7" t="inlineStr">
        <is>
          <t>In AMC base</t>
        </is>
      </c>
      <c r="H5" s="7" t="inlineStr">
        <is>
          <t>Scope</t>
        </is>
      </c>
    </row>
    <row r="6">
      <c r="A6" s="21" t="n">
        <v>1</v>
      </c>
      <c r="B6" s="10" t="inlineStr">
        <is>
          <t>SalesVerse 2.0 software licence (Agent/Banca Portal and Back-office)</t>
        </is>
      </c>
      <c r="C6" s="10" t="inlineStr">
        <is>
          <t>One-off, perpetual</t>
        </is>
      </c>
      <c r="D6" s="11" t="n">
        <v>32500</v>
      </c>
      <c r="E6" s="11" t="n">
        <v>27500</v>
      </c>
      <c r="F6" s="11">
        <f>D6+E6</f>
        <v/>
      </c>
      <c r="G6" s="21" t="inlineStr">
        <is>
          <t>Yes</t>
        </is>
      </c>
      <c r="H6" s="10" t="inlineStr">
        <is>
          <t>Perpetual, non-exclusive, non-transferable enterprise licence for IIFT. Unlimited named users; production, DR and non-production environments included. Option A only.</t>
        </is>
      </c>
    </row>
    <row r="7">
      <c r="A7" s="23" t="n">
        <v>2</v>
      </c>
      <c r="B7" s="16" t="inlineStr">
        <is>
          <t>Implementation and customisation (project management, business analysis, design, configuration, customisation, deployment)</t>
        </is>
      </c>
      <c r="C7" s="16" t="inlineStr">
        <is>
          <t>One-off</t>
        </is>
      </c>
      <c r="D7" s="17" t="n">
        <v>36000</v>
      </c>
      <c r="E7" s="17" t="n">
        <v>28000</v>
      </c>
      <c r="F7" s="17">
        <f>D7+E7</f>
        <v/>
      </c>
      <c r="G7" s="23" t="inlineStr">
        <is>
          <t>Yes</t>
        </is>
      </c>
      <c r="H7" s="16" t="inlineStr">
        <is>
          <t>Fixed price for the functional scope in RFP section 4 and Appendix 3, configured for IIFT's seven products, workflows, documents and reports.</t>
        </is>
      </c>
    </row>
    <row r="8">
      <c r="A8" s="21" t="n">
        <v>3</v>
      </c>
      <c r="B8" s="10" t="inlineStr">
        <is>
          <t>Integration (per interface; see integration breakdown)</t>
        </is>
      </c>
      <c r="C8" s="10" t="inlineStr">
        <is>
          <t>Per interface</t>
        </is>
      </c>
      <c r="D8" s="11" t="n">
        <v>17500</v>
      </c>
      <c r="E8" s="11" t="n">
        <v>13000</v>
      </c>
      <c r="F8" s="11">
        <f>D8+E8</f>
        <v/>
      </c>
      <c r="G8" s="21" t="inlineStr">
        <is>
          <t>Yes</t>
        </is>
      </c>
      <c r="H8" s="10" t="inlineStr">
        <is>
          <t>Core system, FIN, AML screening, LDAP/AD, SMS gateway and Email/SMTP.</t>
        </is>
      </c>
    </row>
    <row r="9">
      <c r="A9" s="23" t="n">
        <v>4</v>
      </c>
      <c r="B9" s="16" t="inlineStr">
        <is>
          <t>Data migration</t>
        </is>
      </c>
      <c r="C9" s="16" t="inlineStr">
        <is>
          <t>One-off</t>
        </is>
      </c>
      <c r="D9" s="17" t="n">
        <v>3000</v>
      </c>
      <c r="E9" s="17" t="n">
        <v>4500</v>
      </c>
      <c r="F9" s="17">
        <f>D9+E9</f>
        <v/>
      </c>
      <c r="G9" s="23" t="inlineStr">
        <is>
          <t>No</t>
        </is>
      </c>
      <c r="H9" s="16" t="inlineStr">
        <is>
          <t>Extraction support, transformation, cleansing, two dry runs, load and reconciliation of agreed agent, agency, bank and participant data.</t>
        </is>
      </c>
    </row>
    <row r="10">
      <c r="A10" s="21" t="n">
        <v>7</v>
      </c>
      <c r="B10" s="10" t="inlineStr">
        <is>
          <t>Security (independent VAPT and re-test)</t>
        </is>
      </c>
      <c r="C10" s="10" t="inlineStr">
        <is>
          <t>One-off</t>
        </is>
      </c>
      <c r="D10" s="11" t="n">
        <v>4500</v>
      </c>
      <c r="E10" s="11" t="n">
        <v>4000</v>
      </c>
      <c r="F10" s="11">
        <f>D10+E10</f>
        <v/>
      </c>
      <c r="G10" s="21" t="inlineStr">
        <is>
          <t>No</t>
        </is>
      </c>
      <c r="H10" s="10" t="inlineStr">
        <is>
          <t>Independent vulnerability assessment and penetration test before go-live, remediation and re-test.</t>
        </is>
      </c>
    </row>
    <row r="11">
      <c r="A11" s="23" t="n">
        <v>8</v>
      </c>
      <c r="B11" s="16" t="inlineStr">
        <is>
          <t>Testing (SIT, performance, regression, UAT support)</t>
        </is>
      </c>
      <c r="C11" s="16" t="inlineStr">
        <is>
          <t>One-off</t>
        </is>
      </c>
      <c r="D11" s="17" t="n">
        <v>5500</v>
      </c>
      <c r="E11" s="17" t="n">
        <v>4500</v>
      </c>
      <c r="F11" s="17">
        <f>D11+E11</f>
        <v/>
      </c>
      <c r="G11" s="23" t="inlineStr">
        <is>
          <t>No</t>
        </is>
      </c>
      <c r="H11" s="16" t="inlineStr">
        <is>
          <t>Test strategy, SIT cases and execution, performance test, automated regression suite, UAT support and defect fixing.</t>
        </is>
      </c>
    </row>
    <row r="12">
      <c r="A12" s="21" t="n">
        <v>9</v>
      </c>
      <c r="B12" s="10" t="inlineStr">
        <is>
          <t>Training</t>
        </is>
      </c>
      <c r="C12" s="10" t="inlineStr">
        <is>
          <t>One-off</t>
        </is>
      </c>
      <c r="D12" s="11" t="n">
        <v>2500</v>
      </c>
      <c r="E12" s="11" t="n">
        <v>2000</v>
      </c>
      <c r="F12" s="11">
        <f>D12+E12</f>
        <v/>
      </c>
      <c r="G12" s="21" t="inlineStr">
        <is>
          <t>No</t>
        </is>
      </c>
      <c r="H12" s="10" t="inlineStr">
        <is>
          <t>End-user, administrator and technical training including materials.</t>
        </is>
      </c>
    </row>
    <row r="13">
      <c r="A13" s="23" t="n">
        <v>10</v>
      </c>
      <c r="B13" s="16" t="inlineStr">
        <is>
          <t>Documentation</t>
        </is>
      </c>
      <c r="C13" s="16" t="inlineStr">
        <is>
          <t>One-off</t>
        </is>
      </c>
      <c r="D13" s="17" t="n">
        <v>2500</v>
      </c>
      <c r="E13" s="17" t="n">
        <v>2500</v>
      </c>
      <c r="F13" s="17">
        <f>D13+E13</f>
        <v/>
      </c>
      <c r="G13" s="23" t="inlineStr">
        <is>
          <t>No</t>
        </is>
      </c>
      <c r="H13" s="16" t="inlineStr">
        <is>
          <t>User, administrator, technical and operations manuals; maintained throughout the contract.</t>
        </is>
      </c>
    </row>
    <row r="14">
      <c r="A14" s="14" t="inlineStr"/>
      <c r="B14" s="14" t="inlineStr">
        <is>
          <t>Total one-time fees, Option A</t>
        </is>
      </c>
      <c r="C14" s="14" t="inlineStr"/>
      <c r="D14" s="15">
        <f>SUM(D6:D13)</f>
        <v/>
      </c>
      <c r="E14" s="15">
        <f>SUM(E6:E13)</f>
        <v/>
      </c>
      <c r="F14" s="15">
        <f>SUM(F6:F13)</f>
        <v/>
      </c>
      <c r="G14" s="14" t="inlineStr"/>
      <c r="H14" s="14" t="inlineStr">
        <is>
          <t>Fixed price; inclusive of WHT; exclusive of OPE and third-party charges</t>
        </is>
      </c>
    </row>
    <row r="15">
      <c r="A15" s="10" t="inlineStr"/>
      <c r="B15" s="10" t="inlineStr">
        <is>
          <t>of which licence (item 1)</t>
        </is>
      </c>
      <c r="C15" s="10" t="inlineStr"/>
      <c r="D15" s="11">
        <f>'Option A'!$D$6</f>
        <v/>
      </c>
      <c r="E15" s="11">
        <f>'Option A'!$E$6</f>
        <v/>
      </c>
      <c r="F15" s="11">
        <f>'Option A'!$F$6</f>
        <v/>
      </c>
      <c r="G15" s="10" t="inlineStr"/>
      <c r="H15" s="10" t="inlineStr">
        <is>
          <t>Paid against licence milestones L1–L3</t>
        </is>
      </c>
    </row>
    <row r="16">
      <c r="A16" s="10" t="inlineStr"/>
      <c r="B16" s="10" t="inlineStr">
        <is>
          <t>of which services (items 2–10)</t>
        </is>
      </c>
      <c r="C16" s="10" t="inlineStr"/>
      <c r="D16" s="11">
        <f>D14-D15</f>
        <v/>
      </c>
      <c r="E16" s="11">
        <f>E14-E15</f>
        <v/>
      </c>
      <c r="F16" s="11">
        <f>F14-F15</f>
        <v/>
      </c>
      <c r="G16" s="10" t="inlineStr"/>
      <c r="H16" s="10" t="inlineStr">
        <is>
          <t>Paid against service milestones M1–M7; same under Option B</t>
        </is>
      </c>
    </row>
    <row r="18" ht="18" customHeight="1">
      <c r="A18" s="6" t="inlineStr">
        <is>
          <t>2. Integration per interface (item 3, COM-05)</t>
        </is>
      </c>
    </row>
    <row r="19" ht="30" customHeight="1">
      <c r="A19" s="7" t="inlineStr">
        <is>
          <t>No</t>
        </is>
      </c>
      <c r="B19" s="7" t="inlineStr">
        <is>
          <t>Interface</t>
        </is>
      </c>
      <c r="C19" s="7" t="inlineStr">
        <is>
          <t>Basis</t>
        </is>
      </c>
      <c r="D19" s="7" t="inlineStr">
        <is>
          <t>Agent/Banca Portal (B$)</t>
        </is>
      </c>
      <c r="E19" s="7" t="inlineStr">
        <is>
          <t>Back-office (B$)</t>
        </is>
      </c>
      <c r="F19" s="7" t="inlineStr">
        <is>
          <t>Total (B$)</t>
        </is>
      </c>
      <c r="G19" s="7" t="inlineStr"/>
      <c r="H19" s="7" t="inlineStr">
        <is>
          <t>Scope</t>
        </is>
      </c>
    </row>
    <row r="20">
      <c r="A20" s="21" t="inlineStr">
        <is>
          <t>3.1</t>
        </is>
      </c>
      <c r="B20" s="10" t="inlineStr">
        <is>
          <t>Core system</t>
        </is>
      </c>
      <c r="C20" s="10" t="inlineStr">
        <is>
          <t>Per interface</t>
        </is>
      </c>
      <c r="D20" s="11" t="n">
        <v>4250</v>
      </c>
      <c r="E20" s="11" t="n">
        <v>4250</v>
      </c>
      <c r="F20" s="11">
        <f>D20+E20</f>
        <v/>
      </c>
      <c r="G20" s="10" t="inlineStr"/>
      <c r="H20" s="10" t="inlineStr">
        <is>
          <t>Agent, agency, bank and policy master synchronisation; agent information exchange</t>
        </is>
      </c>
    </row>
    <row r="21">
      <c r="A21" s="23" t="inlineStr">
        <is>
          <t>3.2</t>
        </is>
      </c>
      <c r="B21" s="16" t="inlineStr">
        <is>
          <t>Financial system (FIN)</t>
        </is>
      </c>
      <c r="C21" s="16" t="inlineStr">
        <is>
          <t>Per interface</t>
        </is>
      </c>
      <c r="D21" s="17" t="n">
        <v>4250</v>
      </c>
      <c r="E21" s="17" t="n">
        <v>4250</v>
      </c>
      <c r="F21" s="17">
        <f>D21+E21</f>
        <v/>
      </c>
      <c r="G21" s="16" t="inlineStr"/>
      <c r="H21" s="16" t="inlineStr">
        <is>
          <t>End-of-day postings, receipts, commission / referral fee information, BRR reconciliation</t>
        </is>
      </c>
    </row>
    <row r="22">
      <c r="A22" s="21" t="inlineStr">
        <is>
          <t>3.3</t>
        </is>
      </c>
      <c r="B22" s="10" t="inlineStr">
        <is>
          <t>AML screening service</t>
        </is>
      </c>
      <c r="C22" s="10" t="inlineStr">
        <is>
          <t>Per interface</t>
        </is>
      </c>
      <c r="D22" s="11" t="n">
        <v>2500</v>
      </c>
      <c r="E22" s="11" t="n">
        <v>2500</v>
      </c>
      <c r="F22" s="11">
        <f>D22+E22</f>
        <v/>
      </c>
      <c r="G22" s="10" t="inlineStr"/>
      <c r="H22" s="10" t="inlineStr">
        <is>
          <t>Participant and agent screening, result capture, re-screening</t>
        </is>
      </c>
    </row>
    <row r="23">
      <c r="A23" s="23" t="inlineStr">
        <is>
          <t>3.4</t>
        </is>
      </c>
      <c r="B23" s="16" t="inlineStr">
        <is>
          <t>LDAP / Active Directory</t>
        </is>
      </c>
      <c r="C23" s="16" t="inlineStr">
        <is>
          <t>Per interface</t>
        </is>
      </c>
      <c r="D23" s="17" t="n">
        <v>2000</v>
      </c>
      <c r="E23" s="17" t="n">
        <v>2000</v>
      </c>
      <c r="F23" s="17">
        <f>D23+E23</f>
        <v/>
      </c>
      <c r="G23" s="16" t="inlineStr"/>
      <c r="H23" s="16" t="inlineStr">
        <is>
          <t>Single sign-on for back-office users; optional directory look-up for portal administration</t>
        </is>
      </c>
    </row>
    <row r="24">
      <c r="A24" s="21" t="inlineStr">
        <is>
          <t>3.5</t>
        </is>
      </c>
      <c r="B24" s="10" t="inlineStr">
        <is>
          <t>SMS gateway</t>
        </is>
      </c>
      <c r="C24" s="10" t="inlineStr">
        <is>
          <t>Per interface</t>
        </is>
      </c>
      <c r="D24" s="11" t="n">
        <v>2500</v>
      </c>
      <c r="E24" s="11" t="n">
        <v>0</v>
      </c>
      <c r="F24" s="11">
        <f>D24+E24</f>
        <v/>
      </c>
      <c r="G24" s="10" t="inlineStr"/>
      <c r="H24" s="10" t="inlineStr">
        <is>
          <t>OTP and alert delivery through IIFT-approved SMS provider</t>
        </is>
      </c>
    </row>
    <row r="25">
      <c r="A25" s="23" t="inlineStr">
        <is>
          <t>3.6</t>
        </is>
      </c>
      <c r="B25" s="16" t="inlineStr">
        <is>
          <t>Email / SMTP relay</t>
        </is>
      </c>
      <c r="C25" s="16" t="inlineStr">
        <is>
          <t>Per interface</t>
        </is>
      </c>
      <c r="D25" s="17" t="n">
        <v>2000</v>
      </c>
      <c r="E25" s="17" t="n">
        <v>0</v>
      </c>
      <c r="F25" s="17">
        <f>D25+E25</f>
        <v/>
      </c>
      <c r="G25" s="16" t="inlineStr"/>
      <c r="H25" s="16" t="inlineStr">
        <is>
          <t>Notification and document e-mail delivery through IIFT mail relay</t>
        </is>
      </c>
    </row>
    <row r="26">
      <c r="A26" s="14" t="inlineStr"/>
      <c r="B26" s="14" t="inlineStr">
        <is>
          <t>Total integration (agrees with item 3)</t>
        </is>
      </c>
      <c r="C26" s="14" t="inlineStr"/>
      <c r="D26" s="15">
        <f>SUM(D20:D25)</f>
        <v/>
      </c>
      <c r="E26" s="15">
        <f>SUM(E20:E25)</f>
        <v/>
      </c>
      <c r="F26" s="15">
        <f>SUM(F20:F25)</f>
        <v/>
      </c>
      <c r="G26" s="14" t="inlineStr"/>
      <c r="H26" s="14" t="inlineStr"/>
    </row>
    <row r="28" ht="18" customHeight="1">
      <c r="A28" s="6" t="inlineStr">
        <is>
          <t>3. Annual maintenance charge (AMC): 22% of licence and customisation, +5% a year</t>
        </is>
      </c>
    </row>
    <row r="29">
      <c r="A29" s="12" t="inlineStr"/>
      <c r="B29" s="12" t="inlineStr">
        <is>
          <t>AMC base: licence, implementation and integration (items flagged Yes)</t>
        </is>
      </c>
      <c r="C29" s="12" t="inlineStr"/>
      <c r="D29" s="13">
        <f>D6+D7+D8</f>
        <v/>
      </c>
      <c r="E29" s="13">
        <f>E6+E7+E8</f>
        <v/>
      </c>
      <c r="F29" s="13">
        <f>F6+F7+F8</f>
        <v/>
      </c>
      <c r="G29" s="12" t="inlineStr"/>
      <c r="H29" s="12" t="inlineStr">
        <is>
          <t>Items 1, 2 and 3</t>
        </is>
      </c>
    </row>
    <row r="30">
      <c r="A30" s="10" t="inlineStr"/>
      <c r="B30" s="10" t="inlineStr">
        <is>
          <t>AMC rate</t>
        </is>
      </c>
      <c r="C30" s="10" t="inlineStr"/>
      <c r="D30" s="10" t="n"/>
      <c r="E30" s="10" t="n"/>
      <c r="F30" s="24" t="n">
        <v>0.22</v>
      </c>
      <c r="G30" s="10" t="inlineStr"/>
      <c r="H30" s="10" t="inlineStr">
        <is>
          <t>Applied to the AMC base</t>
        </is>
      </c>
    </row>
    <row r="31">
      <c r="A31" s="10" t="inlineStr"/>
      <c r="B31" s="10" t="inlineStr">
        <is>
          <t>Yearly increase (capped, COM-18)</t>
        </is>
      </c>
      <c r="C31" s="10" t="inlineStr"/>
      <c r="D31" s="10" t="n"/>
      <c r="E31" s="10" t="n"/>
      <c r="F31" s="25" t="n">
        <v>0.05</v>
      </c>
      <c r="G31" s="10" t="inlineStr"/>
      <c r="H31" s="10" t="inlineStr">
        <is>
          <t>Years 2–5 are escalated from Year 1 and rounded to the nearest B$</t>
        </is>
      </c>
    </row>
    <row r="32" ht="30" customHeight="1">
      <c r="A32" s="7" t="inlineStr">
        <is>
          <t>Year</t>
        </is>
      </c>
      <c r="B32" s="7" t="inlineStr">
        <is>
          <t>Focus (RFP section 9)</t>
        </is>
      </c>
      <c r="C32" s="7" t="inlineStr">
        <is>
          <t>Basis</t>
        </is>
      </c>
      <c r="D32" s="7" t="inlineStr">
        <is>
          <t>Agent/Banca Portal (B$)</t>
        </is>
      </c>
      <c r="E32" s="7" t="inlineStr">
        <is>
          <t>Back-office (B$)</t>
        </is>
      </c>
      <c r="F32" s="7" t="inlineStr">
        <is>
          <t>AMC (B$)</t>
        </is>
      </c>
      <c r="G32" s="7" t="inlineStr">
        <is>
          <t>Per quarter (B$)</t>
        </is>
      </c>
      <c r="H32" s="7" t="inlineStr">
        <is>
          <t>Activities</t>
        </is>
      </c>
    </row>
    <row r="33">
      <c r="A33" s="10" t="inlineStr">
        <is>
          <t>Year 1</t>
        </is>
      </c>
      <c r="B33" s="10" t="inlineStr">
        <is>
          <t>Stabilisation &amp; Hypercare</t>
        </is>
      </c>
      <c r="C33" s="10" t="inlineStr">
        <is>
          <t>Annual</t>
        </is>
      </c>
      <c r="D33" s="11">
        <f>ROUND(D29*$F$30,0)</f>
        <v/>
      </c>
      <c r="E33" s="11">
        <f>ROUND(E29*$F$30,0)</f>
        <v/>
      </c>
      <c r="F33" s="11">
        <f>D33+E33</f>
        <v/>
      </c>
      <c r="G33" s="26">
        <f>F33/4</f>
        <v/>
      </c>
      <c r="H33" s="10" t="inlineStr">
        <is>
          <t>Intensive post-go-live support, defect resolution, performance tuning, monitoring and stabilisation of integrations. Includes the 6-month defect warranty.</t>
        </is>
      </c>
    </row>
    <row r="34">
      <c r="A34" s="16" t="inlineStr">
        <is>
          <t>Year 2</t>
        </is>
      </c>
      <c r="B34" s="16" t="inlineStr">
        <is>
          <t>Operational Support</t>
        </is>
      </c>
      <c r="C34" s="16" t="inlineStr">
        <is>
          <t>Annual</t>
        </is>
      </c>
      <c r="D34" s="17" t="n">
        <v>19866</v>
      </c>
      <c r="E34" s="17" t="n">
        <v>15824</v>
      </c>
      <c r="F34" s="17">
        <f>D34+E34</f>
        <v/>
      </c>
      <c r="G34" s="27">
        <f>F34/4</f>
        <v/>
      </c>
      <c r="H34" s="16" t="inlineStr">
        <is>
          <t>BAU incident management, preventive maintenance, security patches, performance monitoring and minor enhancements.</t>
        </is>
      </c>
    </row>
    <row r="35">
      <c r="A35" s="10" t="inlineStr">
        <is>
          <t>Year 3</t>
        </is>
      </c>
      <c r="B35" s="10" t="inlineStr">
        <is>
          <t>Optimisation</t>
        </is>
      </c>
      <c r="C35" s="10" t="inlineStr">
        <is>
          <t>Annual</t>
        </is>
      </c>
      <c r="D35" s="11" t="n">
        <v>20859</v>
      </c>
      <c r="E35" s="11" t="n">
        <v>16615</v>
      </c>
      <c r="F35" s="11">
        <f>D35+E35</f>
        <v/>
      </c>
      <c r="G35" s="26">
        <f>F35/4</f>
        <v/>
      </c>
      <c r="H35" s="10" t="inlineStr">
        <is>
          <t>System optimisation, reporting improvements, integration improvements and technology review.</t>
        </is>
      </c>
    </row>
    <row r="36">
      <c r="A36" s="16" t="inlineStr">
        <is>
          <t>Year 4</t>
        </is>
      </c>
      <c r="B36" s="16" t="inlineStr">
        <is>
          <t>Technology Refresh</t>
        </is>
      </c>
      <c r="C36" s="16" t="inlineStr">
        <is>
          <t>Annual</t>
        </is>
      </c>
      <c r="D36" s="17" t="n">
        <v>21902</v>
      </c>
      <c r="E36" s="17" t="n">
        <v>17445</v>
      </c>
      <c r="F36" s="17">
        <f>D36+E36</f>
        <v/>
      </c>
      <c r="G36" s="27">
        <f>F36/4</f>
        <v/>
      </c>
      <c r="H36" s="16" t="inlineStr">
        <is>
          <t>Platform compatibility review, security hardening, version upgrades and capacity assessment.</t>
        </is>
      </c>
    </row>
    <row r="37">
      <c r="A37" s="10" t="inlineStr">
        <is>
          <t>Year 5</t>
        </is>
      </c>
      <c r="B37" s="10" t="inlineStr">
        <is>
          <t>Sustainability &amp; Transition</t>
        </is>
      </c>
      <c r="C37" s="10" t="inlineStr">
        <is>
          <t>Annual</t>
        </is>
      </c>
      <c r="D37" s="11" t="n">
        <v>22997</v>
      </c>
      <c r="E37" s="11" t="n">
        <v>18318</v>
      </c>
      <c r="F37" s="11">
        <f>D37+E37</f>
        <v/>
      </c>
      <c r="G37" s="26">
        <f>F37/4</f>
        <v/>
      </c>
      <c r="H37" s="10" t="inlineStr">
        <is>
          <t>Comprehensive health assessment, documentation refresh, knowledge transfer, technology roadmap and exit/renewal preparation.</t>
        </is>
      </c>
    </row>
    <row r="38">
      <c r="A38" s="14" t="inlineStr">
        <is>
          <t>Total</t>
        </is>
      </c>
      <c r="B38" s="14" t="inlineStr">
        <is>
          <t>Five years</t>
        </is>
      </c>
      <c r="C38" s="14" t="inlineStr"/>
      <c r="D38" s="15">
        <f>SUM(D33:D37)</f>
        <v/>
      </c>
      <c r="E38" s="15">
        <f>SUM(E33:E37)</f>
        <v/>
      </c>
      <c r="F38" s="15">
        <f>SUM(F33:F37)</f>
        <v/>
      </c>
      <c r="G38" s="14" t="inlineStr"/>
      <c r="H38" s="14" t="inlineStr"/>
    </row>
    <row r="40" ht="18" customHeight="1">
      <c r="A40" s="6" t="inlineStr">
        <is>
          <t>AMC inclusions</t>
        </is>
      </c>
    </row>
    <row r="41" ht="13" customHeight="1">
      <c r="A41" s="18" t="inlineStr">
        <is>
          <t>•  Helpdesk during IIFT business hours with 24x7 coverage for P1 (Critical) incidents</t>
        </is>
      </c>
    </row>
    <row r="42" ht="13" customHeight="1">
      <c r="A42" s="18" t="inlineStr">
        <is>
          <t>•  Incident, problem and service request management against the agreed SLA</t>
        </is>
      </c>
    </row>
    <row r="43" ht="13" customHeight="1">
      <c r="A43" s="18" t="inlineStr">
        <is>
          <t>•  Corrective and preventive maintenance; defect fixing</t>
        </is>
      </c>
    </row>
    <row r="44" ht="13" customHeight="1">
      <c r="A44" s="18" t="inlineStr">
        <is>
          <t>•  Security patches, dependency updates and vulnerability remediation</t>
        </is>
      </c>
    </row>
    <row r="45" ht="13" customHeight="1">
      <c r="A45" s="18" t="inlineStr">
        <is>
          <t>•  Platform and version upgrades (Node.js, PostgreSQL, frameworks) within the supported lifecycle, including SalesVerse 2.0 platform releases</t>
        </is>
      </c>
    </row>
    <row r="46" ht="13" customHeight="1">
      <c r="A46" s="18" t="inlineStr">
        <is>
          <t>•  60 hours per year of minor enhancements</t>
        </is>
      </c>
    </row>
    <row r="47" ht="13" customHeight="1">
      <c r="A47" s="18" t="inlineStr">
        <is>
          <t>•  Monthly service report and quarterly service review</t>
        </is>
      </c>
    </row>
    <row r="48" ht="13" customHeight="1">
      <c r="A48" s="18" t="inlineStr">
        <is>
          <t>•  Backup verification and annual DR test participation</t>
        </is>
      </c>
    </row>
    <row r="49" ht="13" customHeight="1">
      <c r="A49" s="18" t="inlineStr">
        <is>
          <t>•  Documentation updates and ongoing knowledge transfer</t>
        </is>
      </c>
    </row>
    <row r="50" ht="13" customHeight="1">
      <c r="A50" s="18" t="inlineStr">
        <is>
          <t>•  Exit and transition support in Year 5</t>
        </is>
      </c>
    </row>
    <row r="52" ht="18" customHeight="1">
      <c r="A52" s="6" t="inlineStr">
        <is>
          <t>Licence terms (COM-02)</t>
        </is>
      </c>
    </row>
    <row r="53" ht="13" customHeight="1">
      <c r="A53" s="18" t="inlineStr">
        <is>
          <t>•  Perpetual, non-exclusive, non-transferable enterprise licence to SalesVerse 2.0 (Agent/Banca Portal and Back-office) for IIFT's internal business; no renewal fee.</t>
        </is>
      </c>
    </row>
    <row r="54" ht="13" customHeight="1">
      <c r="A54" s="18" t="inlineStr">
        <is>
          <t>•  Unlimited named and concurrent users; production, DR and non-production environments included.</t>
        </is>
      </c>
    </row>
    <row r="55" ht="13" customHeight="1">
      <c r="A55" s="18" t="inlineStr">
        <is>
          <t>•  Use by another IITH group company (e.g. IIGT) needs an additional entity licence, priced separately.</t>
        </is>
      </c>
    </row>
    <row r="56" ht="13" customHeight="1">
      <c r="A56" s="18" t="inlineStr">
        <is>
          <t>•  Billing of the AMC: quarterly in advance; year 1 starts at go-live. Warranty: 6 months from go-live.</t>
        </is>
      </c>
    </row>
  </sheetData>
  <mergeCells count="14">
    <mergeCell ref="A50:H50"/>
    <mergeCell ref="A56:H56"/>
    <mergeCell ref="A48:H48"/>
    <mergeCell ref="A53:H53"/>
    <mergeCell ref="A55:H55"/>
    <mergeCell ref="A43:H43"/>
    <mergeCell ref="A54:H54"/>
    <mergeCell ref="A42:H42"/>
    <mergeCell ref="A41:H41"/>
    <mergeCell ref="A49:H49"/>
    <mergeCell ref="A44:H44"/>
    <mergeCell ref="A47:H47"/>
    <mergeCell ref="A45:H45"/>
    <mergeCell ref="A46:H46"/>
  </mergeCells>
  <printOptions horizontalCentered="1"/>
  <pageMargins left="0.4" right="0.4" top="0.6" bottom="0.6" header="0.5" footer="0.5"/>
  <pageSetup orientation="landscape" paperSize="9" fitToHeight="0" fitToWidth="1"/>
  <headerFooter>
    <oddHeader>&amp;R&amp;8 iorta TechNXT | IIFT Agent/Banca Portal &amp; Back-office</oddHeader>
    <oddFooter>&amp;L&amp;8 Commercial-in-Confidence&amp;R&amp;8 &amp;A | Page &amp;P of &amp;N</oddFooter>
    <evenHeader/>
    <evenFooter/>
    <firstHeader/>
    <firstFooter/>
  </headerFooter>
</worksheet>
</file>

<file path=xl/worksheets/sheet4.xml><?xml version="1.0" encoding="utf-8"?>
<worksheet xmlns="http://schemas.openxmlformats.org/spreadsheetml/2006/main">
  <sheetPr>
    <tabColor rgb="00F58220"/>
    <outlinePr summaryBelow="1" summaryRight="1"/>
    <pageSetUpPr fitToPage="1"/>
  </sheetPr>
  <dimension ref="A1:H67"/>
  <sheetViews>
    <sheetView showGridLines="0" zoomScale="90"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50" customWidth="1" min="2" max="2"/>
    <col width="16" customWidth="1" min="3" max="3"/>
    <col width="15" customWidth="1" min="4" max="4"/>
    <col width="15" customWidth="1" min="5" max="5"/>
    <col width="15" customWidth="1" min="6" max="6"/>
    <col width="15" customWidth="1" min="7" max="7"/>
    <col width="70" customWidth="1" min="8" max="8"/>
  </cols>
  <sheetData>
    <row r="1" ht="22" customHeight="1">
      <c r="A1" s="1" t="inlineStr">
        <is>
          <t>Option B – Subscription, hosted and managed by iorta: implementation, subscription, managed services and cloud at actuals</t>
        </is>
      </c>
    </row>
    <row r="2">
      <c r="A2" s="2" t="inlineStr">
        <is>
          <t>iorta TechNXT – proposal to Insurans Islam Family Takaful Sendirian Berhad – October 2026</t>
        </is>
      </c>
    </row>
    <row r="4" ht="18" customHeight="1">
      <c r="A4" s="6" t="inlineStr">
        <is>
          <t>1. Implementation fee (same scope and fees as Option A items 2–10)</t>
        </is>
      </c>
    </row>
    <row r="5" ht="30" customHeight="1">
      <c r="A5" s="7" t="inlineStr">
        <is>
          <t>No</t>
        </is>
      </c>
      <c r="B5" s="7" t="inlineStr">
        <is>
          <t>Component</t>
        </is>
      </c>
      <c r="C5" s="7" t="inlineStr">
        <is>
          <t>Basis</t>
        </is>
      </c>
      <c r="D5" s="7" t="inlineStr">
        <is>
          <t>Agent/Banca Portal (B$)</t>
        </is>
      </c>
      <c r="E5" s="7" t="inlineStr">
        <is>
          <t>Back-office (B$)</t>
        </is>
      </c>
      <c r="F5" s="7" t="inlineStr">
        <is>
          <t>Total (B$)</t>
        </is>
      </c>
      <c r="G5" s="7" t="inlineStr"/>
      <c r="H5" s="7" t="inlineStr">
        <is>
          <t>Scope</t>
        </is>
      </c>
    </row>
    <row r="6">
      <c r="A6" s="21" t="n">
        <v>2</v>
      </c>
      <c r="B6" s="10" t="inlineStr">
        <is>
          <t>Implementation and customisation (project management, business analysis, design, configuration, customisation, deployment)</t>
        </is>
      </c>
      <c r="C6" s="10" t="inlineStr">
        <is>
          <t>One-off</t>
        </is>
      </c>
      <c r="D6" s="11" t="n">
        <v>36000</v>
      </c>
      <c r="E6" s="11" t="n">
        <v>28000</v>
      </c>
      <c r="F6" s="11">
        <f>D6+E6</f>
        <v/>
      </c>
      <c r="G6" s="10" t="inlineStr"/>
      <c r="H6" s="10" t="inlineStr">
        <is>
          <t>Fixed price for the functional scope in RFP section 4 and Appendix 3, configured for IIFT's seven products, workflows, documents and reports.</t>
        </is>
      </c>
    </row>
    <row r="7">
      <c r="A7" s="23" t="n">
        <v>3</v>
      </c>
      <c r="B7" s="16" t="inlineStr">
        <is>
          <t>Integration (per interface; see integration breakdown)</t>
        </is>
      </c>
      <c r="C7" s="16" t="inlineStr">
        <is>
          <t>Per interface</t>
        </is>
      </c>
      <c r="D7" s="17" t="n">
        <v>17500</v>
      </c>
      <c r="E7" s="17" t="n">
        <v>13000</v>
      </c>
      <c r="F7" s="17">
        <f>D7+E7</f>
        <v/>
      </c>
      <c r="G7" s="16" t="inlineStr"/>
      <c r="H7" s="16" t="inlineStr">
        <is>
          <t>Core system, FIN, AML screening, LDAP/AD, SMS gateway and Email/SMTP.</t>
        </is>
      </c>
    </row>
    <row r="8">
      <c r="A8" s="21" t="n">
        <v>4</v>
      </c>
      <c r="B8" s="10" t="inlineStr">
        <is>
          <t>Data migration</t>
        </is>
      </c>
      <c r="C8" s="10" t="inlineStr">
        <is>
          <t>One-off</t>
        </is>
      </c>
      <c r="D8" s="11" t="n">
        <v>3000</v>
      </c>
      <c r="E8" s="11" t="n">
        <v>4500</v>
      </c>
      <c r="F8" s="11">
        <f>D8+E8</f>
        <v/>
      </c>
      <c r="G8" s="10" t="inlineStr"/>
      <c r="H8" s="10" t="inlineStr">
        <is>
          <t>Extraction support, transformation, cleansing, two dry runs, load and reconciliation of agreed agent, agency, bank and participant data.</t>
        </is>
      </c>
    </row>
    <row r="9">
      <c r="A9" s="23" t="n">
        <v>7</v>
      </c>
      <c r="B9" s="16" t="inlineStr">
        <is>
          <t>Security (independent VAPT and re-test)</t>
        </is>
      </c>
      <c r="C9" s="16" t="inlineStr">
        <is>
          <t>One-off</t>
        </is>
      </c>
      <c r="D9" s="17" t="n">
        <v>4500</v>
      </c>
      <c r="E9" s="17" t="n">
        <v>4000</v>
      </c>
      <c r="F9" s="17">
        <f>D9+E9</f>
        <v/>
      </c>
      <c r="G9" s="16" t="inlineStr"/>
      <c r="H9" s="16" t="inlineStr">
        <is>
          <t>Independent vulnerability assessment and penetration test before go-live, remediation and re-test.</t>
        </is>
      </c>
    </row>
    <row r="10">
      <c r="A10" s="21" t="n">
        <v>8</v>
      </c>
      <c r="B10" s="10" t="inlineStr">
        <is>
          <t>Testing (SIT, performance, regression, UAT support)</t>
        </is>
      </c>
      <c r="C10" s="10" t="inlineStr">
        <is>
          <t>One-off</t>
        </is>
      </c>
      <c r="D10" s="11" t="n">
        <v>5500</v>
      </c>
      <c r="E10" s="11" t="n">
        <v>4500</v>
      </c>
      <c r="F10" s="11">
        <f>D10+E10</f>
        <v/>
      </c>
      <c r="G10" s="10" t="inlineStr"/>
      <c r="H10" s="10" t="inlineStr">
        <is>
          <t>Test strategy, SIT cases and execution, performance test, automated regression suite, UAT support and defect fixing.</t>
        </is>
      </c>
    </row>
    <row r="11">
      <c r="A11" s="23" t="n">
        <v>9</v>
      </c>
      <c r="B11" s="16" t="inlineStr">
        <is>
          <t>Training</t>
        </is>
      </c>
      <c r="C11" s="16" t="inlineStr">
        <is>
          <t>One-off</t>
        </is>
      </c>
      <c r="D11" s="17" t="n">
        <v>2500</v>
      </c>
      <c r="E11" s="17" t="n">
        <v>2000</v>
      </c>
      <c r="F11" s="17">
        <f>D11+E11</f>
        <v/>
      </c>
      <c r="G11" s="16" t="inlineStr"/>
      <c r="H11" s="16" t="inlineStr">
        <is>
          <t>End-user, administrator and technical training including materials.</t>
        </is>
      </c>
    </row>
    <row r="12">
      <c r="A12" s="21" t="n">
        <v>10</v>
      </c>
      <c r="B12" s="10" t="inlineStr">
        <is>
          <t>Documentation</t>
        </is>
      </c>
      <c r="C12" s="10" t="inlineStr">
        <is>
          <t>One-off</t>
        </is>
      </c>
      <c r="D12" s="11" t="n">
        <v>2500</v>
      </c>
      <c r="E12" s="11" t="n">
        <v>2500</v>
      </c>
      <c r="F12" s="11">
        <f>D12+E12</f>
        <v/>
      </c>
      <c r="G12" s="10" t="inlineStr"/>
      <c r="H12" s="10" t="inlineStr">
        <is>
          <t>User, administrator, technical and operations manuals; maintained throughout the contract.</t>
        </is>
      </c>
    </row>
    <row r="13">
      <c r="A13" s="14" t="inlineStr"/>
      <c r="B13" s="14" t="inlineStr">
        <is>
          <t>Total implementation fee, Option B</t>
        </is>
      </c>
      <c r="C13" s="14" t="inlineStr"/>
      <c r="D13" s="15">
        <f>SUM(D6:D12)</f>
        <v/>
      </c>
      <c r="E13" s="15">
        <f>SUM(E6:E12)</f>
        <v/>
      </c>
      <c r="F13" s="15">
        <f>SUM(F6:F12)</f>
        <v/>
      </c>
      <c r="G13" s="14" t="inlineStr"/>
      <c r="H13" s="14" t="inlineStr">
        <is>
          <t>Paid against service milestones M1–M7</t>
        </is>
      </c>
    </row>
    <row r="14">
      <c r="A14" s="21" t="inlineStr">
        <is>
          <t>5</t>
        </is>
      </c>
      <c r="B14" s="10" t="inlineStr">
        <is>
          <t>Cloud set-up: landing zone, PROD/DR/UAT environments, monitoring, backups, DR</t>
        </is>
      </c>
      <c r="C14" s="10" t="inlineStr">
        <is>
          <t>One-off</t>
        </is>
      </c>
      <c r="D14" s="11" t="n"/>
      <c r="E14" s="11" t="n"/>
      <c r="F14" s="11" t="n">
        <v>15000</v>
      </c>
      <c r="G14" s="10" t="inlineStr"/>
      <c r="H14" s="10" t="inlineStr">
        <is>
          <t>RFP item 5 (one-off part); payable at contract signing; not part of the AMC base</t>
        </is>
      </c>
    </row>
    <row r="15">
      <c r="A15" s="14" t="inlineStr"/>
      <c r="B15" s="14" t="inlineStr">
        <is>
          <t>Total one-time fees, Option B</t>
        </is>
      </c>
      <c r="C15" s="14" t="inlineStr"/>
      <c r="D15" s="15" t="n"/>
      <c r="E15" s="15" t="n"/>
      <c r="F15" s="15">
        <f>F13+F14</f>
        <v/>
      </c>
      <c r="G15" s="14" t="inlineStr"/>
      <c r="H15" s="14" t="inlineStr">
        <is>
          <t>Inclusive of WHT; exclusive of OPE, cloud infrastructure and third-party charges</t>
        </is>
      </c>
    </row>
    <row r="17" ht="18" customHeight="1">
      <c r="A17" s="6" t="inlineStr">
        <is>
          <t>2. Subscription (+5% a year; minimum term 60 months from go-live)</t>
        </is>
      </c>
    </row>
    <row r="18" ht="30" customHeight="1">
      <c r="A18" s="7" t="inlineStr">
        <is>
          <t>Year</t>
        </is>
      </c>
      <c r="B18" s="7" t="inlineStr">
        <is>
          <t>Item</t>
        </is>
      </c>
      <c r="C18" s="7" t="inlineStr">
        <is>
          <t>Basis</t>
        </is>
      </c>
      <c r="D18" s="7" t="inlineStr">
        <is>
          <t>Portal per month (B$)</t>
        </is>
      </c>
      <c r="E18" s="7" t="inlineStr">
        <is>
          <t>Back-office per month (B$)</t>
        </is>
      </c>
      <c r="F18" s="7" t="inlineStr">
        <is>
          <t>Total per month (B$)</t>
        </is>
      </c>
      <c r="G18" s="7" t="inlineStr">
        <is>
          <t>Per year (B$)</t>
        </is>
      </c>
      <c r="H18" s="7" t="inlineStr">
        <is>
          <t>Notes</t>
        </is>
      </c>
    </row>
    <row r="19">
      <c r="A19" s="10" t="inlineStr">
        <is>
          <t>Year 1</t>
        </is>
      </c>
      <c r="B19" s="10" t="inlineStr">
        <is>
          <t>Subscription: right to use, maintenance and support, application management</t>
        </is>
      </c>
      <c r="C19" s="10" t="inlineStr">
        <is>
          <t>Monthly in advance</t>
        </is>
      </c>
      <c r="D19" s="11" t="n">
        <v>1850</v>
      </c>
      <c r="E19" s="11" t="n">
        <v>1550</v>
      </c>
      <c r="F19" s="11">
        <f>D19+E19</f>
        <v/>
      </c>
      <c r="G19" s="11">
        <f>F19*12</f>
        <v/>
      </c>
      <c r="H19" s="10" t="inlineStr">
        <is>
          <t>Year 1 rates as quoted; later years escalated by 5% and rounded to the nearest B$</t>
        </is>
      </c>
    </row>
    <row r="20">
      <c r="A20" s="16" t="inlineStr">
        <is>
          <t>Year 2</t>
        </is>
      </c>
      <c r="B20" s="16" t="inlineStr">
        <is>
          <t>Subscription: right to use, maintenance and support, application management</t>
        </is>
      </c>
      <c r="C20" s="16" t="inlineStr">
        <is>
          <t>Monthly in advance</t>
        </is>
      </c>
      <c r="D20" s="17" t="n">
        <v>1943</v>
      </c>
      <c r="E20" s="17" t="n">
        <v>1628</v>
      </c>
      <c r="F20" s="17">
        <f>D20+E20</f>
        <v/>
      </c>
      <c r="G20" s="17">
        <f>F20*12</f>
        <v/>
      </c>
      <c r="H20" s="16" t="inlineStr"/>
    </row>
    <row r="21">
      <c r="A21" s="10" t="inlineStr">
        <is>
          <t>Year 3</t>
        </is>
      </c>
      <c r="B21" s="10" t="inlineStr">
        <is>
          <t>Subscription: right to use, maintenance and support, application management</t>
        </is>
      </c>
      <c r="C21" s="10" t="inlineStr">
        <is>
          <t>Monthly in advance</t>
        </is>
      </c>
      <c r="D21" s="11" t="n">
        <v>2040</v>
      </c>
      <c r="E21" s="11" t="n">
        <v>1709</v>
      </c>
      <c r="F21" s="11">
        <f>D21+E21</f>
        <v/>
      </c>
      <c r="G21" s="11">
        <f>F21*12</f>
        <v/>
      </c>
      <c r="H21" s="10" t="inlineStr"/>
    </row>
    <row r="22">
      <c r="A22" s="16" t="inlineStr">
        <is>
          <t>Year 4</t>
        </is>
      </c>
      <c r="B22" s="16" t="inlineStr">
        <is>
          <t>Subscription: right to use, maintenance and support, application management</t>
        </is>
      </c>
      <c r="C22" s="16" t="inlineStr">
        <is>
          <t>Monthly in advance</t>
        </is>
      </c>
      <c r="D22" s="17" t="n">
        <v>2142</v>
      </c>
      <c r="E22" s="17" t="n">
        <v>1794</v>
      </c>
      <c r="F22" s="17">
        <f>D22+E22</f>
        <v/>
      </c>
      <c r="G22" s="17">
        <f>F22*12</f>
        <v/>
      </c>
      <c r="H22" s="16" t="inlineStr"/>
    </row>
    <row r="23">
      <c r="A23" s="10" t="inlineStr">
        <is>
          <t>Year 5</t>
        </is>
      </c>
      <c r="B23" s="10" t="inlineStr">
        <is>
          <t>Subscription: right to use, maintenance and support, application management</t>
        </is>
      </c>
      <c r="C23" s="10" t="inlineStr">
        <is>
          <t>Monthly in advance</t>
        </is>
      </c>
      <c r="D23" s="11" t="n">
        <v>2249</v>
      </c>
      <c r="E23" s="11" t="n">
        <v>1884</v>
      </c>
      <c r="F23" s="11">
        <f>D23+E23</f>
        <v/>
      </c>
      <c r="G23" s="11">
        <f>F23*12</f>
        <v/>
      </c>
      <c r="H23" s="10" t="inlineStr"/>
    </row>
    <row r="24">
      <c r="A24" s="14" t="inlineStr">
        <is>
          <t>Total</t>
        </is>
      </c>
      <c r="B24" s="14" t="inlineStr">
        <is>
          <t>Five years</t>
        </is>
      </c>
      <c r="C24" s="14" t="inlineStr"/>
      <c r="D24" s="14" t="inlineStr"/>
      <c r="E24" s="14" t="inlineStr"/>
      <c r="F24" s="14" t="inlineStr"/>
      <c r="G24" s="15">
        <f>SUM(G19:G23)</f>
        <v/>
      </c>
      <c r="H24" s="14" t="inlineStr"/>
    </row>
    <row r="25">
      <c r="A25" s="10" t="inlineStr"/>
      <c r="B25" s="10" t="inlineStr">
        <is>
          <t>Minimum term value (60 months)</t>
        </is>
      </c>
      <c r="C25" s="10" t="inlineStr"/>
      <c r="D25" s="10" t="inlineStr"/>
      <c r="E25" s="10" t="inlineStr"/>
      <c r="F25" s="10" t="inlineStr"/>
      <c r="G25" s="11">
        <f>SUM(G19:G23)</f>
        <v/>
      </c>
      <c r="H25" s="10" t="inlineStr">
        <is>
          <t>Payable if IIFT ends the subscription early other than for iorta's breach</t>
        </is>
      </c>
    </row>
    <row r="27" ht="18" customHeight="1">
      <c r="A27" s="6" t="inlineStr">
        <is>
          <t>3. Managed services by iorta (+5% a year)</t>
        </is>
      </c>
    </row>
    <row r="28" ht="30" customHeight="1">
      <c r="A28" s="7" t="inlineStr">
        <is>
          <t>Year</t>
        </is>
      </c>
      <c r="B28" s="7" t="inlineStr">
        <is>
          <t>Item</t>
        </is>
      </c>
      <c r="C28" s="7" t="inlineStr">
        <is>
          <t>Basis</t>
        </is>
      </c>
      <c r="D28" s="7" t="inlineStr">
        <is>
          <t>Per month (B$)</t>
        </is>
      </c>
      <c r="E28" s="7" t="inlineStr">
        <is>
          <t>Per year (B$)</t>
        </is>
      </c>
      <c r="F28" s="7" t="inlineStr">
        <is>
          <t>Inclusions</t>
        </is>
      </c>
      <c r="G28" s="8" t="n"/>
      <c r="H28" s="9" t="n"/>
    </row>
    <row r="29">
      <c r="A29" s="10" t="inlineStr">
        <is>
          <t>Year 1</t>
        </is>
      </c>
      <c r="B29" s="10" t="inlineStr">
        <is>
          <t>Managed services: cloud operations, monitoring, patching, backups, DR, security</t>
        </is>
      </c>
      <c r="C29" s="10" t="inlineStr">
        <is>
          <t>Monthly in advance</t>
        </is>
      </c>
      <c r="D29" s="11" t="n">
        <v>1100</v>
      </c>
      <c r="E29" s="11">
        <f>D29*12</f>
        <v/>
      </c>
      <c r="F29" s="10" t="inlineStr">
        <is>
          <t>24x7 infrastructure and availability monitoring with alerting</t>
        </is>
      </c>
      <c r="G29" s="8" t="n"/>
      <c r="H29" s="9" t="n"/>
    </row>
    <row r="30">
      <c r="A30" s="16" t="inlineStr">
        <is>
          <t>Year 2</t>
        </is>
      </c>
      <c r="B30" s="16" t="inlineStr">
        <is>
          <t>Managed services: cloud operations, monitoring, patching, backups, DR, security</t>
        </is>
      </c>
      <c r="C30" s="16" t="inlineStr">
        <is>
          <t>Monthly in advance</t>
        </is>
      </c>
      <c r="D30" s="17" t="n">
        <v>1155</v>
      </c>
      <c r="E30" s="17">
        <f>D30*12</f>
        <v/>
      </c>
      <c r="F30" s="16" t="inlineStr">
        <is>
          <t>Operating system, container and database patching in agreed windows</t>
        </is>
      </c>
      <c r="G30" s="8" t="n"/>
      <c r="H30" s="9" t="n"/>
    </row>
    <row r="31">
      <c r="A31" s="10" t="inlineStr">
        <is>
          <t>Year 3</t>
        </is>
      </c>
      <c r="B31" s="10" t="inlineStr">
        <is>
          <t>Managed services: cloud operations, monitoring, patching, backups, DR, security</t>
        </is>
      </c>
      <c r="C31" s="10" t="inlineStr">
        <is>
          <t>Monthly in advance</t>
        </is>
      </c>
      <c r="D31" s="11" t="n">
        <v>1213</v>
      </c>
      <c r="E31" s="11">
        <f>D31*12</f>
        <v/>
      </c>
      <c r="F31" s="10" t="inlineStr">
        <is>
          <t>Backups, monthly restore tests and the annual DR drill</t>
        </is>
      </c>
      <c r="G31" s="8" t="n"/>
      <c r="H31" s="9" t="n"/>
    </row>
    <row r="32">
      <c r="A32" s="16" t="inlineStr">
        <is>
          <t>Year 4</t>
        </is>
      </c>
      <c r="B32" s="16" t="inlineStr">
        <is>
          <t>Managed services: cloud operations, monitoring, patching, backups, DR, security</t>
        </is>
      </c>
      <c r="C32" s="16" t="inlineStr">
        <is>
          <t>Monthly in advance</t>
        </is>
      </c>
      <c r="D32" s="17" t="n">
        <v>1273</v>
      </c>
      <c r="E32" s="17">
        <f>D32*12</f>
        <v/>
      </c>
      <c r="F32" s="16" t="inlineStr">
        <is>
          <t>Security monitoring: WAF, threat detection, vulnerability scanning of the cloud estate</t>
        </is>
      </c>
      <c r="G32" s="8" t="n"/>
      <c r="H32" s="9" t="n"/>
    </row>
    <row r="33">
      <c r="A33" s="10" t="inlineStr">
        <is>
          <t>Year 5</t>
        </is>
      </c>
      <c r="B33" s="10" t="inlineStr">
        <is>
          <t>Managed services: cloud operations, monitoring, patching, backups, DR, security</t>
        </is>
      </c>
      <c r="C33" s="10" t="inlineStr">
        <is>
          <t>Monthly in advance</t>
        </is>
      </c>
      <c r="D33" s="11" t="n">
        <v>1337</v>
      </c>
      <c r="E33" s="11">
        <f>D33*12</f>
        <v/>
      </c>
      <c r="F33" s="10" t="inlineStr">
        <is>
          <t>Capacity, performance and cloud cost management with a monthly report</t>
        </is>
      </c>
      <c r="G33" s="8" t="n"/>
      <c r="H33" s="9" t="n"/>
    </row>
    <row r="34">
      <c r="A34" s="14" t="inlineStr">
        <is>
          <t>Total</t>
        </is>
      </c>
      <c r="B34" s="14" t="inlineStr">
        <is>
          <t>Five years</t>
        </is>
      </c>
      <c r="C34" s="14" t="inlineStr"/>
      <c r="D34" s="15" t="n"/>
      <c r="E34" s="15">
        <f>SUM(E29:E33)</f>
        <v/>
      </c>
      <c r="F34" s="14" t="inlineStr">
        <is>
          <t>Infrastructure incident response and liaison with the cloud provider</t>
        </is>
      </c>
      <c r="G34" s="8" t="n"/>
      <c r="H34" s="9" t="n"/>
    </row>
    <row r="36" ht="18" customHeight="1">
      <c r="A36" s="6" t="inlineStr">
        <is>
          <t>4. Cloud infrastructure recharged at cost (disbursement) – estimate (AWS Asia Pacific (Malaysia) or Azure Malaysia West)</t>
        </is>
      </c>
    </row>
    <row r="37" ht="30" customHeight="1">
      <c r="A37" s="7" t="inlineStr">
        <is>
          <t>No</t>
        </is>
      </c>
      <c r="B37" s="7" t="inlineStr">
        <is>
          <t>Service</t>
        </is>
      </c>
      <c r="C37" s="7" t="inlineStr">
        <is>
          <t>Billing basis</t>
        </is>
      </c>
      <c r="D37" s="7" t="inlineStr">
        <is>
          <t>B$ per month</t>
        </is>
      </c>
      <c r="E37" s="7" t="inlineStr">
        <is>
          <t>B$ per year</t>
        </is>
      </c>
      <c r="F37" s="7" t="inlineStr">
        <is>
          <t>Reference sizing</t>
        </is>
      </c>
      <c r="G37" s="8" t="n"/>
      <c r="H37" s="9" t="n"/>
    </row>
    <row r="38">
      <c r="A38" s="21" t="n">
        <v>1</v>
      </c>
      <c r="B38" s="10" t="inlineStr">
        <is>
          <t>Container compute, 2 tasks across 2 availability zones (Portal, back-office and API)</t>
        </is>
      </c>
      <c r="C38" s="10" t="inlineStr">
        <is>
          <t>At cost (disbursement)</t>
        </is>
      </c>
      <c r="D38" s="11" t="n">
        <v>260</v>
      </c>
      <c r="E38" s="11">
        <f>D38*12</f>
        <v/>
      </c>
      <c r="F38" s="10" t="inlineStr">
        <is>
          <t>2 tasks × (1 vCPU, 2 GB) incl. ClamAV sidecar; scales to 4 tasks</t>
        </is>
      </c>
      <c r="G38" s="8" t="n"/>
      <c r="H38" s="9" t="n"/>
    </row>
    <row r="39">
      <c r="A39" s="23" t="n">
        <v>2</v>
      </c>
      <c r="B39" s="16" t="inlineStr">
        <is>
          <t>Managed PostgreSQL, Multi-AZ, 100 GB, automated backups (Database and point-in-time recovery)</t>
        </is>
      </c>
      <c r="C39" s="16" t="inlineStr">
        <is>
          <t>At cost (disbursement)</t>
        </is>
      </c>
      <c r="D39" s="17" t="n">
        <v>420</v>
      </c>
      <c r="E39" s="17">
        <f>D39*12</f>
        <v/>
      </c>
      <c r="F39" s="16" t="inlineStr">
        <is>
          <t>db.t4g.large (2 vCPU, 8 GB), Multi-AZ, 100 GB gp3, 35-day backups and PITR</t>
        </is>
      </c>
      <c r="G39" s="8" t="n"/>
      <c r="H39" s="9" t="n"/>
    </row>
    <row r="40">
      <c r="A40" s="21" t="n">
        <v>3</v>
      </c>
      <c r="B40" s="10" t="inlineStr">
        <is>
          <t>Application load balancer and web application firewall (TLS termination, OWASP rules)</t>
        </is>
      </c>
      <c r="C40" s="10" t="inlineStr">
        <is>
          <t>At cost (disbursement)</t>
        </is>
      </c>
      <c r="D40" s="11" t="n">
        <v>130</v>
      </c>
      <c r="E40" s="11">
        <f>D40*12</f>
        <v/>
      </c>
      <c r="F40" s="10" t="inlineStr">
        <is>
          <t>1 load balancer; WAF with managed OWASP rule sets; managed TLS certificate</t>
        </is>
      </c>
      <c r="G40" s="8" t="n"/>
      <c r="H40" s="9" t="n"/>
    </row>
    <row r="41">
      <c r="A41" s="23" t="n">
        <v>4</v>
      </c>
      <c r="B41" s="16" t="inlineStr">
        <is>
          <t>NAT gateway and data transfer (Outbound integration and updates)</t>
        </is>
      </c>
      <c r="C41" s="16" t="inlineStr">
        <is>
          <t>At cost (disbursement)</t>
        </is>
      </c>
      <c r="D41" s="17" t="n">
        <v>90</v>
      </c>
      <c r="E41" s="17">
        <f>D41*12</f>
        <v/>
      </c>
      <c r="F41" s="16" t="inlineStr">
        <is>
          <t>NAT gateway, site-to-site VPN to the IITH data centre, outbound data</t>
        </is>
      </c>
      <c r="G41" s="8" t="n"/>
      <c r="H41" s="9" t="n"/>
    </row>
    <row r="42">
      <c r="A42" s="21" t="n">
        <v>5</v>
      </c>
      <c r="B42" s="10" t="inlineStr">
        <is>
          <t>Object storage (encrypted) and cross-region backup copies (Documents, backups, DR copies)</t>
        </is>
      </c>
      <c r="C42" s="10" t="inlineStr">
        <is>
          <t>At cost (disbursement)</t>
        </is>
      </c>
      <c r="D42" s="11" t="n">
        <v>70</v>
      </c>
      <c r="E42" s="11">
        <f>D42*12</f>
        <v/>
      </c>
      <c r="F42" s="10" t="inlineStr">
        <is>
          <t>Shared file storage up to 100 GB; about 200 GB object storage; cross-region copy</t>
        </is>
      </c>
      <c r="G42" s="8" t="n"/>
      <c r="H42" s="9" t="n"/>
    </row>
    <row r="43">
      <c r="A43" s="23" t="n">
        <v>6</v>
      </c>
      <c r="B43" s="16" t="inlineStr">
        <is>
          <t>Logging, metrics, alarms and threat detection (Monitoring and security)</t>
        </is>
      </c>
      <c r="C43" s="16" t="inlineStr">
        <is>
          <t>At cost (disbursement)</t>
        </is>
      </c>
      <c r="D43" s="17" t="n">
        <v>70</v>
      </c>
      <c r="E43" s="17">
        <f>D43*12</f>
        <v/>
      </c>
      <c r="F43" s="16" t="inlineStr">
        <is>
          <t>Log retention 90 days, metrics, alarms, threat detection</t>
        </is>
      </c>
      <c r="G43" s="8" t="n"/>
      <c r="H43" s="9" t="n"/>
    </row>
    <row r="44">
      <c r="A44" s="21" t="n">
        <v>7</v>
      </c>
      <c r="B44" s="10" t="inlineStr">
        <is>
          <t>Secrets and key management (Credentials and encryption keys)</t>
        </is>
      </c>
      <c r="C44" s="10" t="inlineStr">
        <is>
          <t>At cost (disbursement)</t>
        </is>
      </c>
      <c r="D44" s="11" t="n">
        <v>20</v>
      </c>
      <c r="E44" s="11">
        <f>D44*12</f>
        <v/>
      </c>
      <c r="F44" s="10" t="inlineStr">
        <is>
          <t>Secrets store and customer-managed encryption keys</t>
        </is>
      </c>
      <c r="G44" s="8" t="n"/>
      <c r="H44" s="9" t="n"/>
    </row>
    <row r="45">
      <c r="A45" s="23" t="n">
        <v>8</v>
      </c>
      <c r="B45" s="16" t="inlineStr">
        <is>
          <t>UAT environment, scaled down, stopped out of hours (Non-production testing)</t>
        </is>
      </c>
      <c r="C45" s="16" t="inlineStr">
        <is>
          <t>At cost (disbursement)</t>
        </is>
      </c>
      <c r="D45" s="17" t="n">
        <v>120</v>
      </c>
      <c r="E45" s="17">
        <f>D45*12</f>
        <v/>
      </c>
      <c r="F45" s="16" t="inlineStr">
        <is>
          <t>1 task and a single-AZ db.t4g.medium; stopped outside test periods</t>
        </is>
      </c>
      <c r="G45" s="8" t="n"/>
      <c r="H45" s="9" t="n"/>
    </row>
    <row r="46">
      <c r="A46" s="21" t="n">
        <v>9</v>
      </c>
      <c r="B46" s="10" t="inlineStr">
        <is>
          <t>DR environment, pilot light in a second region (Database replica and standby images)</t>
        </is>
      </c>
      <c r="C46" s="10" t="inlineStr">
        <is>
          <t>At cost (disbursement)</t>
        </is>
      </c>
      <c r="D46" s="11" t="n">
        <v>150</v>
      </c>
      <c r="E46" s="11">
        <f>D46*12</f>
        <v/>
      </c>
      <c r="F46" s="10" t="inlineStr">
        <is>
          <t>Cross-region database replica or snapshots and standby images</t>
        </is>
      </c>
      <c r="G46" s="8" t="n"/>
      <c r="H46" s="9" t="n"/>
    </row>
    <row r="47">
      <c r="A47" s="14" t="inlineStr"/>
      <c r="B47" s="14" t="inlineStr">
        <is>
          <t>Total, production run</t>
        </is>
      </c>
      <c r="C47" s="14" t="inlineStr"/>
      <c r="D47" s="15">
        <f>SUM(D38:D46)</f>
        <v/>
      </c>
      <c r="E47" s="15">
        <f>SUM(E38:E46)</f>
        <v/>
      </c>
      <c r="F47" s="14" t="inlineStr">
        <is>
          <t>Recharged monthly in arrears as a disbursement with provider invoices; no mark-up</t>
        </is>
      </c>
      <c r="G47" s="8" t="n"/>
      <c r="H47" s="9" t="n"/>
    </row>
    <row r="48">
      <c r="A48" s="10" t="inlineStr"/>
      <c r="B48" s="10" t="inlineStr">
        <is>
          <t>Project environments before go-live (DEV, SIT, UAT), 5 months</t>
        </is>
      </c>
      <c r="C48" s="10" t="inlineStr">
        <is>
          <t>At cost (disbursement)</t>
        </is>
      </c>
      <c r="D48" s="11" t="n">
        <v>300</v>
      </c>
      <c r="E48" s="11">
        <f>D48*5</f>
        <v/>
      </c>
      <c r="F48" s="10" t="inlineStr">
        <is>
          <t>One-off, during implementation; scaled down</t>
        </is>
      </c>
      <c r="G48" s="8" t="n"/>
      <c r="H48" s="9" t="n"/>
    </row>
    <row r="49">
      <c r="A49" s="14" t="inlineStr"/>
      <c r="B49" s="14" t="inlineStr">
        <is>
          <t>Cloud estimate, project plus five years</t>
        </is>
      </c>
      <c r="C49" s="14" t="inlineStr"/>
      <c r="D49" s="15" t="n"/>
      <c r="E49" s="15">
        <f>E48+5*'Option B'!$E$47</f>
        <v/>
      </c>
      <c r="F49" s="14" t="inlineStr">
        <is>
          <t>Estimate only; IIFT pays actual charges</t>
        </is>
      </c>
      <c r="G49" s="8" t="n"/>
      <c r="H49" s="9" t="n"/>
    </row>
    <row r="51" ht="18" customHeight="1">
      <c r="A51" s="6" t="inlineStr">
        <is>
          <t>5. Option B over five years</t>
        </is>
      </c>
    </row>
    <row r="52" ht="30" customHeight="1">
      <c r="A52" s="7" t="inlineStr"/>
      <c r="B52" s="7" t="inlineStr">
        <is>
          <t>Element</t>
        </is>
      </c>
      <c r="C52" s="7" t="inlineStr">
        <is>
          <t>Treatment</t>
        </is>
      </c>
      <c r="D52" s="7" t="inlineStr">
        <is>
          <t>B$</t>
        </is>
      </c>
      <c r="E52" s="7" t="inlineStr">
        <is>
          <t>Notes</t>
        </is>
      </c>
      <c r="F52" s="8" t="n"/>
      <c r="G52" s="8" t="n"/>
      <c r="H52" s="9" t="n"/>
    </row>
    <row r="53">
      <c r="A53" s="10" t="inlineStr"/>
      <c r="B53" s="10" t="inlineStr">
        <is>
          <t>Implementation fee</t>
        </is>
      </c>
      <c r="C53" s="10" t="inlineStr">
        <is>
          <t>iorta fee</t>
        </is>
      </c>
      <c r="D53" s="11">
        <f>'Option B'!$F$13</f>
        <v/>
      </c>
      <c r="E53" s="10" t="inlineStr">
        <is>
          <t>Fixed price</t>
        </is>
      </c>
      <c r="F53" s="8" t="n"/>
      <c r="G53" s="8" t="n"/>
      <c r="H53" s="9" t="n"/>
    </row>
    <row r="54">
      <c r="A54" s="10" t="inlineStr"/>
      <c r="B54" s="10" t="inlineStr">
        <is>
          <t>Cloud set-up fee</t>
        </is>
      </c>
      <c r="C54" s="10" t="inlineStr">
        <is>
          <t>iorta fee</t>
        </is>
      </c>
      <c r="D54" s="11">
        <f>'Option B'!$F$14</f>
        <v/>
      </c>
      <c r="E54" s="10" t="inlineStr">
        <is>
          <t>One-off, at contract signing</t>
        </is>
      </c>
      <c r="F54" s="8" t="n"/>
      <c r="G54" s="8" t="n"/>
      <c r="H54" s="9" t="n"/>
    </row>
    <row r="55">
      <c r="A55" s="10" t="inlineStr"/>
      <c r="B55" s="10" t="inlineStr">
        <is>
          <t>Subscription, Years 1–5</t>
        </is>
      </c>
      <c r="C55" s="10" t="inlineStr">
        <is>
          <t>iorta fee</t>
        </is>
      </c>
      <c r="D55" s="11">
        <f>'Option B'!$G$24</f>
        <v/>
      </c>
      <c r="E55" s="10" t="inlineStr">
        <is>
          <t>+5% a year</t>
        </is>
      </c>
      <c r="F55" s="8" t="n"/>
      <c r="G55" s="8" t="n"/>
      <c r="H55" s="9" t="n"/>
    </row>
    <row r="56">
      <c r="A56" s="10" t="inlineStr"/>
      <c r="B56" s="10" t="inlineStr">
        <is>
          <t>Managed services, Years 1–5</t>
        </is>
      </c>
      <c r="C56" s="10" t="inlineStr">
        <is>
          <t>iorta fee</t>
        </is>
      </c>
      <c r="D56" s="11">
        <f>'Option B'!$E$34</f>
        <v/>
      </c>
      <c r="E56" s="10" t="inlineStr">
        <is>
          <t>+5% a year</t>
        </is>
      </c>
      <c r="F56" s="8" t="n"/>
      <c r="G56" s="8" t="n"/>
      <c r="H56" s="9" t="n"/>
    </row>
    <row r="57">
      <c r="A57" s="10" t="inlineStr"/>
      <c r="B57" s="10" t="inlineStr">
        <is>
          <t>OPE, core onsite phases (estimate)</t>
        </is>
      </c>
      <c r="C57" s="10" t="inlineStr">
        <is>
          <t>Disbursement</t>
        </is>
      </c>
      <c r="D57" s="11">
        <f>'OPE'!$L$25</f>
        <v/>
      </c>
      <c r="E57" s="10" t="inlineStr">
        <is>
          <t>At cost; per diem fixed</t>
        </is>
      </c>
      <c r="F57" s="8" t="n"/>
      <c r="G57" s="8" t="n"/>
      <c r="H57" s="9" t="n"/>
    </row>
    <row r="58">
      <c r="A58" s="10" t="inlineStr"/>
      <c r="B58" s="10" t="inlineStr">
        <is>
          <t>Cloud infrastructure (estimate)</t>
        </is>
      </c>
      <c r="C58" s="10" t="inlineStr">
        <is>
          <t>Disbursement</t>
        </is>
      </c>
      <c r="D58" s="11">
        <f>'Option B'!$E$49</f>
        <v/>
      </c>
      <c r="E58" s="10" t="inlineStr">
        <is>
          <t>At cost, no mark-up, or paid by IIFT directly</t>
        </is>
      </c>
      <c r="F58" s="8" t="n"/>
      <c r="G58" s="8" t="n"/>
      <c r="H58" s="9" t="n"/>
    </row>
    <row r="59">
      <c r="A59" s="14" t="inlineStr"/>
      <c r="B59" s="14" t="inlineStr">
        <is>
          <t>Five-year total, Option B</t>
        </is>
      </c>
      <c r="C59" s="14" t="inlineStr"/>
      <c r="D59" s="15">
        <f>SUM(D53:D58)</f>
        <v/>
      </c>
      <c r="E59" s="14" t="inlineStr"/>
      <c r="F59" s="8" t="n"/>
      <c r="G59" s="8" t="n"/>
      <c r="H59" s="9" t="n"/>
    </row>
    <row r="61" ht="18" customHeight="1">
      <c r="A61" s="6" t="inlineStr">
        <is>
          <t>Subscription inclusions</t>
        </is>
      </c>
    </row>
    <row r="62" ht="13" customHeight="1">
      <c r="A62" s="18" t="inlineStr">
        <is>
          <t>•  Right to use SalesVerse 2.0 (Agent/Banca Portal and Back-office) for unlimited IIFT named users</t>
        </is>
      </c>
    </row>
    <row r="63" ht="13" customHeight="1">
      <c r="A63" s="18" t="inlineStr">
        <is>
          <t>•  Everything in the Option A annual maintenance: SLA support, P1 24x7, patches, upgrades, 60 enhancement hours a year, monthly reports and quarterly reviews</t>
        </is>
      </c>
    </row>
    <row r="64" ht="13" customHeight="1">
      <c r="A64" s="18" t="inlineStr">
        <is>
          <t>•  Application management: releases, configuration changes, job and integration monitoring</t>
        </is>
      </c>
    </row>
    <row r="65" ht="13" customHeight="1">
      <c r="A65" s="18" t="inlineStr">
        <is>
          <t>•  Production, DR and UAT environments operated by iorta (infrastructure charged separately on actuals)</t>
        </is>
      </c>
    </row>
    <row r="66" ht="13" customHeight="1">
      <c r="A66" s="18" t="inlineStr">
        <is>
          <t>•  Data export in open formats at any time and at exit; data remains IIFT's property</t>
        </is>
      </c>
    </row>
    <row r="67" ht="26" customHeight="1">
      <c r="A67" s="19" t="inlineStr">
        <is>
          <t>Hosting in a cloud account dedicated to IIFT: held by iorta with charges recharged at cost as disbursements (provider invoices attached), or held in IIFT's name with IIFT paying the provider directly. IIFT makes the AMBD outsourcing and cloud notification; a Brunei-hosted alternative can be priced on request. Data is returned in open formats at exit and then deleted with a certificate.</t>
        </is>
      </c>
    </row>
  </sheetData>
  <mergeCells count="34">
    <mergeCell ref="A67:H67"/>
    <mergeCell ref="F42:H42"/>
    <mergeCell ref="F33:H33"/>
    <mergeCell ref="F45:H45"/>
    <mergeCell ref="E57:H57"/>
    <mergeCell ref="F41:H41"/>
    <mergeCell ref="A64:H64"/>
    <mergeCell ref="F32:H32"/>
    <mergeCell ref="E54:H54"/>
    <mergeCell ref="F47:H47"/>
    <mergeCell ref="F38:H38"/>
    <mergeCell ref="F46:H46"/>
    <mergeCell ref="E56:H56"/>
    <mergeCell ref="F28:H28"/>
    <mergeCell ref="E53:H53"/>
    <mergeCell ref="A65:H65"/>
    <mergeCell ref="F31:H31"/>
    <mergeCell ref="E58:H58"/>
    <mergeCell ref="F43:H43"/>
    <mergeCell ref="A66:H66"/>
    <mergeCell ref="F48:H48"/>
    <mergeCell ref="E55:H55"/>
    <mergeCell ref="F39:H39"/>
    <mergeCell ref="F37:H37"/>
    <mergeCell ref="E52:H52"/>
    <mergeCell ref="F49:H49"/>
    <mergeCell ref="F44:H44"/>
    <mergeCell ref="F29:H29"/>
    <mergeCell ref="F34:H34"/>
    <mergeCell ref="A62:H62"/>
    <mergeCell ref="A63:H63"/>
    <mergeCell ref="F40:H40"/>
    <mergeCell ref="E59:H59"/>
    <mergeCell ref="F30:H30"/>
  </mergeCells>
  <printOptions horizontalCentered="1"/>
  <pageMargins left="0.4" right="0.4" top="0.6" bottom="0.6" header="0.5" footer="0.5"/>
  <pageSetup orientation="landscape" paperSize="9" fitToHeight="0" fitToWidth="1"/>
  <headerFooter>
    <oddHeader>&amp;R&amp;8 iorta TechNXT | IIFT Agent/Banca Portal &amp; Back-office</oddHeader>
    <oddFooter>&amp;L&amp;8 Commercial-in-Confidence&amp;R&amp;8 &amp;A | Page &amp;P of &amp;N</oddFooter>
    <evenHeader/>
    <evenFooter/>
    <firstHeader/>
    <firstFooter/>
  </headerFooter>
</worksheet>
</file>

<file path=xl/worksheets/sheet5.xml><?xml version="1.0" encoding="utf-8"?>
<worksheet xmlns="http://schemas.openxmlformats.org/spreadsheetml/2006/main">
  <sheetPr>
    <tabColor rgb="00F58220"/>
    <outlinePr summaryBelow="1" summaryRight="1"/>
    <pageSetUpPr fitToPage="1"/>
  </sheetPr>
  <dimension ref="A1:G55"/>
  <sheetViews>
    <sheetView showGridLines="0" zoomScale="90"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62" customWidth="1" min="2" max="2"/>
    <col width="26" customWidth="1" min="3" max="3"/>
    <col width="15" customWidth="1" min="4" max="4"/>
    <col width="15" customWidth="1" min="5" max="5"/>
    <col width="15" customWidth="1" min="6" max="6"/>
    <col width="60" customWidth="1" min="7" max="7"/>
  </cols>
  <sheetData>
    <row r="1" ht="22" customHeight="1">
      <c r="A1" s="1" t="inlineStr">
        <is>
          <t>Option C – Source code handover (add-on): core source code with knowledge transfer and transition</t>
        </is>
      </c>
    </row>
    <row r="2">
      <c r="A2" s="2" t="inlineStr">
        <is>
          <t>iorta TechNXT – proposal to Insurans Islam Family Takaful Sendirian Berhad – October 2026</t>
        </is>
      </c>
    </row>
    <row r="4" ht="18" customHeight="1">
      <c r="A4" s="6" t="inlineStr">
        <is>
          <t>1. Price</t>
        </is>
      </c>
    </row>
    <row r="5" ht="30" customHeight="1">
      <c r="A5" s="7" t="inlineStr"/>
      <c r="B5" s="7" t="inlineStr">
        <is>
          <t>Component</t>
        </is>
      </c>
      <c r="C5" s="7" t="inlineStr">
        <is>
          <t>Basis</t>
        </is>
      </c>
      <c r="D5" s="7" t="inlineStr">
        <is>
          <t>Amount (B$)</t>
        </is>
      </c>
      <c r="E5" s="7" t="inlineStr">
        <is>
          <t>Amount (USD)</t>
        </is>
      </c>
      <c r="F5" s="7" t="inlineStr">
        <is>
          <t>Notes</t>
        </is>
      </c>
      <c r="G5" s="9" t="n"/>
    </row>
    <row r="6">
      <c r="A6" s="10" t="inlineStr"/>
      <c r="B6" s="10" t="inlineStr">
        <is>
          <t>Source code licence (SalesVerse 2.0 core platform)</t>
        </is>
      </c>
      <c r="C6" s="10" t="inlineStr">
        <is>
          <t>One-off</t>
        </is>
      </c>
      <c r="D6" s="11" t="n">
        <v>60000</v>
      </c>
      <c r="E6" s="11">
        <f>ROUND(D6/Summary!$C$11,0)</f>
        <v/>
      </c>
      <c r="F6" s="10" t="inlineStr">
        <is>
          <t>Use, modify and maintain for IIFT and IITH group internal use; no resale</t>
        </is>
      </c>
      <c r="G6" s="9" t="n"/>
    </row>
    <row r="7">
      <c r="A7" s="10" t="inlineStr"/>
      <c r="B7" s="10" t="inlineStr">
        <is>
          <t>Knowledge transfer and transition (8 weeks)</t>
        </is>
      </c>
      <c r="C7" s="10" t="inlineStr">
        <is>
          <t>One-off</t>
        </is>
      </c>
      <c r="D7" s="11" t="n">
        <v>28000</v>
      </c>
      <c r="E7" s="11">
        <f>ROUND(D7/Summary!$C$11,0)</f>
        <v/>
      </c>
      <c r="F7" s="10" t="inlineStr">
        <is>
          <t>After go-live and hypercare exit</t>
        </is>
      </c>
      <c r="G7" s="9" t="n"/>
    </row>
    <row r="8">
      <c r="A8" s="14" t="inlineStr"/>
      <c r="B8" s="14" t="inlineStr">
        <is>
          <t>Total Option C</t>
        </is>
      </c>
      <c r="C8" s="14" t="inlineStr"/>
      <c r="D8" s="15">
        <f>D6+D7</f>
        <v/>
      </c>
      <c r="E8" s="15">
        <f>ROUND(D8/Summary!$C$11,0)</f>
        <v/>
      </c>
      <c r="F8" s="14" t="inlineStr">
        <is>
          <t>Exclusive of OPE (onsite weeks at actuals)</t>
        </is>
      </c>
      <c r="G8" s="9" t="n"/>
    </row>
    <row r="9">
      <c r="A9" s="10" t="inlineStr"/>
      <c r="B9" s="10" t="inlineStr">
        <is>
          <t>OPE for onsite knowledge transfer (estimate)</t>
        </is>
      </c>
      <c r="C9" s="10" t="inlineStr">
        <is>
          <t>At cost (disbursement)</t>
        </is>
      </c>
      <c r="D9" s="11">
        <f>OPE!$L$26</f>
        <v/>
      </c>
      <c r="E9" s="11">
        <f>ROUND(D9/Summary!$C$11,0)</f>
        <v/>
      </c>
      <c r="F9" s="10" t="inlineStr">
        <is>
          <t>Solution Architect and Senior Developer onsite for the walkthrough weeks</t>
        </is>
      </c>
      <c r="G9" s="9" t="n"/>
    </row>
    <row r="10" ht="13" customHeight="1">
      <c r="A10" s="19" t="inlineStr">
        <is>
          <t>Price held if Option C is exercised within 12 months of go-live; later exercise adds 5% for each further contract year.</t>
        </is>
      </c>
    </row>
    <row r="12" ht="18" customHeight="1">
      <c r="A12" s="6" t="inlineStr">
        <is>
          <t>2. Payment milestones</t>
        </is>
      </c>
    </row>
    <row r="13" ht="30" customHeight="1">
      <c r="A13" s="7" t="inlineStr">
        <is>
          <t>Code</t>
        </is>
      </c>
      <c r="B13" s="7" t="inlineStr">
        <is>
          <t>Payment trigger</t>
        </is>
      </c>
      <c r="C13" s="7" t="inlineStr">
        <is>
          <t>Component</t>
        </is>
      </c>
      <c r="D13" s="7" t="inlineStr">
        <is>
          <t>Share</t>
        </is>
      </c>
      <c r="E13" s="7" t="inlineStr">
        <is>
          <t>Amount (B$)</t>
        </is>
      </c>
    </row>
    <row r="14">
      <c r="A14" s="21" t="inlineStr">
        <is>
          <t>C1</t>
        </is>
      </c>
      <c r="B14" s="10" t="inlineStr">
        <is>
          <t>Delivery of the source code repository and a verified build by IIFT</t>
        </is>
      </c>
      <c r="C14" s="10" t="inlineStr">
        <is>
          <t>Source code licence</t>
        </is>
      </c>
      <c r="D14" s="25" t="n">
        <v>1</v>
      </c>
      <c r="E14" s="11">
        <f>ROUND(D14*$D$6,0)</f>
        <v/>
      </c>
    </row>
    <row r="15">
      <c r="A15" s="21" t="inlineStr">
        <is>
          <t>C2</t>
        </is>
      </c>
      <c r="B15" s="10" t="inlineStr">
        <is>
          <t>Start of knowledge transfer</t>
        </is>
      </c>
      <c r="C15" s="10" t="inlineStr">
        <is>
          <t>Knowledge transfer</t>
        </is>
      </c>
      <c r="D15" s="25" t="n">
        <v>0.5</v>
      </c>
      <c r="E15" s="11">
        <f>ROUND(D15*$D$7,0)</f>
        <v/>
      </c>
    </row>
    <row r="16">
      <c r="A16" s="21" t="inlineStr">
        <is>
          <t>C3</t>
        </is>
      </c>
      <c r="B16" s="10" t="inlineStr">
        <is>
          <t>Handover certificate signed</t>
        </is>
      </c>
      <c r="C16" s="10" t="inlineStr">
        <is>
          <t>Knowledge transfer</t>
        </is>
      </c>
      <c r="D16" s="25" t="n">
        <v>0.5</v>
      </c>
      <c r="E16" s="11">
        <f>ROUND(D16*$D$7,0)</f>
        <v/>
      </c>
    </row>
    <row r="17">
      <c r="A17" s="14" t="inlineStr"/>
      <c r="B17" s="14" t="inlineStr">
        <is>
          <t>Total</t>
        </is>
      </c>
      <c r="C17" s="14" t="inlineStr"/>
      <c r="D17" s="14" t="n"/>
      <c r="E17" s="15">
        <f>SUM(E14:E16)</f>
        <v/>
      </c>
    </row>
    <row r="19" ht="18" customHeight="1">
      <c r="A19" s="6" t="inlineStr">
        <is>
          <t>3. Knowledge transfer and transition plan</t>
        </is>
      </c>
    </row>
    <row r="20" ht="30" customHeight="1">
      <c r="A20" s="7" t="inlineStr">
        <is>
          <t>Week</t>
        </is>
      </c>
      <c r="B20" s="7" t="inlineStr">
        <is>
          <t>Activity</t>
        </is>
      </c>
      <c r="C20" s="7" t="inlineStr">
        <is>
          <t>Outcome</t>
        </is>
      </c>
    </row>
    <row r="21">
      <c r="A21" s="21" t="n">
        <v>1</v>
      </c>
      <c r="B21" s="10" t="inlineStr">
        <is>
          <t>Transition plan, roles, access to repositories and pipelines</t>
        </is>
      </c>
      <c r="C21" s="10" t="inlineStr">
        <is>
          <t>Signed transition plan</t>
        </is>
      </c>
    </row>
    <row r="22">
      <c r="A22" s="23" t="n">
        <v>2</v>
      </c>
      <c r="B22" s="16" t="inlineStr">
        <is>
          <t>Architecture, data model and module walkthroughs</t>
        </is>
      </c>
      <c r="C22" s="16" t="inlineStr">
        <is>
          <t>Architecture walkthrough sign-off</t>
        </is>
      </c>
    </row>
    <row r="23">
      <c r="A23" s="21" t="n">
        <v>3</v>
      </c>
      <c r="B23" s="10" t="inlineStr">
        <is>
          <t>Code walkthroughs: sales, policy, billing and claims modules</t>
        </is>
      </c>
      <c r="C23" s="10" t="inlineStr">
        <is>
          <t>Module checklists</t>
        </is>
      </c>
    </row>
    <row r="24">
      <c r="A24" s="23" t="n">
        <v>4</v>
      </c>
      <c r="B24" s="16" t="inlineStr">
        <is>
          <t>Code walkthroughs: workflow, integration, reports, security</t>
        </is>
      </c>
      <c r="C24" s="16" t="inlineStr">
        <is>
          <t>Module checklists</t>
        </is>
      </c>
    </row>
    <row r="25">
      <c r="A25" s="21" t="n">
        <v>5</v>
      </c>
      <c r="B25" s="10" t="inlineStr">
        <is>
          <t>Build, test, CI/CD, release and database migration practice</t>
        </is>
      </c>
      <c r="C25" s="10" t="inlineStr">
        <is>
          <t>IIFT team produces a release</t>
        </is>
      </c>
    </row>
    <row r="26">
      <c r="A26" s="23" t="n">
        <v>6</v>
      </c>
      <c r="B26" s="16" t="inlineStr">
        <is>
          <t>Shadow support: IIFT developers observe live tickets</t>
        </is>
      </c>
      <c r="C26" s="16" t="inlineStr">
        <is>
          <t>Ticket log</t>
        </is>
      </c>
    </row>
    <row r="27">
      <c r="A27" s="21" t="n">
        <v>7</v>
      </c>
      <c r="B27" s="10" t="inlineStr">
        <is>
          <t>Reverse shadow: IIFT developers resolve tickets, iorta reviews</t>
        </is>
      </c>
      <c r="C27" s="10" t="inlineStr">
        <is>
          <t>Ticket log, code reviews</t>
        </is>
      </c>
    </row>
    <row r="28">
      <c r="A28" s="23" t="n">
        <v>8</v>
      </c>
      <c r="B28" s="16" t="inlineStr">
        <is>
          <t>Competency assessment, documentation handover, closure</t>
        </is>
      </c>
      <c r="C28" s="16" t="inlineStr">
        <is>
          <t>Handover certificate</t>
        </is>
      </c>
    </row>
    <row r="29" ht="26" customHeight="1">
      <c r="A29" s="19" t="inlineStr">
        <is>
          <t>Acceptance: handover certificate signed when IIFT's team builds and deploys a release to SIT from the delivered repository without iorta's help, resolves tickets in the reverse-shadow weeks and receives the documentation set.</t>
        </is>
      </c>
    </row>
    <row r="31" ht="18" customHeight="1">
      <c r="A31" s="6" t="inlineStr">
        <is>
          <t>4. Deliverables</t>
        </is>
      </c>
    </row>
    <row r="32" ht="13" customHeight="1">
      <c r="A32" s="18" t="inlineStr">
        <is>
          <t>•  Full source code of SalesVerse 2.0 core and IIFT customisations in a Git repository with history</t>
        </is>
      </c>
    </row>
    <row r="33" ht="13" customHeight="1">
      <c r="A33" s="18" t="inlineStr">
        <is>
          <t>•  Build scripts, CI/CD pipeline definitions, infrastructure and container definitions</t>
        </is>
      </c>
    </row>
    <row r="34" ht="13" customHeight="1">
      <c r="A34" s="18" t="inlineStr">
        <is>
          <t>•  Database schema, migrations, reference data and seed scripts</t>
        </is>
      </c>
    </row>
    <row r="35" ht="13" customHeight="1">
      <c r="A35" s="18" t="inlineStr">
        <is>
          <t>•  Automated test suites (unit, end-to-end, security checks) and test data</t>
        </is>
      </c>
    </row>
    <row r="36" ht="13" customHeight="1">
      <c r="A36" s="18" t="inlineStr">
        <is>
          <t>•  Developer guide, architecture document, data dictionary, runbooks and coding standards</t>
        </is>
      </c>
    </row>
    <row r="37" ht="13" customHeight="1">
      <c r="A37" s="18" t="inlineStr">
        <is>
          <t>•  Third-party component inventory and software bill of materials (SBOM)</t>
        </is>
      </c>
    </row>
    <row r="38" ht="13" customHeight="1">
      <c r="A38" s="19" t="inlineStr">
        <is>
          <t>Source code of IIFT-specific components (configuration, adapters, reports, templates, migration and build scripts) is delivered under every option (RFP DEL-11); Option C adds the core platform.</t>
        </is>
      </c>
    </row>
    <row r="40" ht="18" customHeight="1">
      <c r="A40" s="6" t="inlineStr">
        <is>
          <t>5. Support after handover – choice 2: platform updates and L3 support at 10% of the AMC base</t>
        </is>
      </c>
    </row>
    <row r="41">
      <c r="A41" s="10" t="inlineStr"/>
      <c r="B41" s="10" t="inlineStr">
        <is>
          <t>AMC base (Option A sheet)</t>
        </is>
      </c>
      <c r="C41" s="10" t="inlineStr"/>
      <c r="D41" s="11">
        <f>'Option A'!$F$29</f>
        <v/>
      </c>
    </row>
    <row r="42">
      <c r="A42" s="10" t="inlineStr"/>
      <c r="B42" s="10" t="inlineStr">
        <is>
          <t>Rate</t>
        </is>
      </c>
      <c r="C42" s="10" t="inlineStr">
        <is>
          <t>In place of the AMC</t>
        </is>
      </c>
      <c r="D42" s="24" t="n">
        <v>0.1</v>
      </c>
    </row>
    <row r="43" ht="30" customHeight="1">
      <c r="A43" s="7" t="inlineStr">
        <is>
          <t>Year</t>
        </is>
      </c>
      <c r="B43" s="7" t="inlineStr">
        <is>
          <t>Support after handover</t>
        </is>
      </c>
      <c r="C43" s="7" t="inlineStr">
        <is>
          <t>Basis</t>
        </is>
      </c>
      <c r="D43" s="7" t="inlineStr">
        <is>
          <t>Choice 2 (B$)</t>
        </is>
      </c>
      <c r="E43" s="7" t="inlineStr">
        <is>
          <t>Full AMC (B$)</t>
        </is>
      </c>
      <c r="F43" s="7" t="inlineStr">
        <is>
          <t>Difference (B$)</t>
        </is>
      </c>
      <c r="G43" s="7" t="inlineStr">
        <is>
          <t>Notes</t>
        </is>
      </c>
    </row>
    <row r="44">
      <c r="A44" s="10" t="inlineStr">
        <is>
          <t>Year 1</t>
        </is>
      </c>
      <c r="B44" s="10" t="inlineStr">
        <is>
          <t>Platform updates, security patches, L3 support for the core</t>
        </is>
      </c>
      <c r="C44" s="10" t="inlineStr">
        <is>
          <t>Quarterly in advance</t>
        </is>
      </c>
      <c r="D44" s="11">
        <f>ROUND(D41*D42,0)</f>
        <v/>
      </c>
      <c r="E44" s="11">
        <f>'Option A'!$F$33</f>
        <v/>
      </c>
      <c r="F44" s="11">
        <f>E44-D44</f>
        <v/>
      </c>
      <c r="G44" s="10" t="inlineStr">
        <is>
          <t>Pro rata from the month after the handover certificate</t>
        </is>
      </c>
    </row>
    <row r="45">
      <c r="A45" s="16" t="inlineStr">
        <is>
          <t>Year 2</t>
        </is>
      </c>
      <c r="B45" s="16" t="inlineStr">
        <is>
          <t>Platform updates, security patches, L3 support for the core</t>
        </is>
      </c>
      <c r="C45" s="16" t="inlineStr">
        <is>
          <t>Quarterly in advance</t>
        </is>
      </c>
      <c r="D45" s="17" t="n">
        <v>16223</v>
      </c>
      <c r="E45" s="17">
        <f>'Option A'!$F$34</f>
        <v/>
      </c>
      <c r="F45" s="17">
        <f>E45-D45</f>
        <v/>
      </c>
      <c r="G45" s="16" t="inlineStr"/>
    </row>
    <row r="46">
      <c r="A46" s="10" t="inlineStr">
        <is>
          <t>Year 3</t>
        </is>
      </c>
      <c r="B46" s="10" t="inlineStr">
        <is>
          <t>Platform updates, security patches, L3 support for the core</t>
        </is>
      </c>
      <c r="C46" s="10" t="inlineStr">
        <is>
          <t>Quarterly in advance</t>
        </is>
      </c>
      <c r="D46" s="11" t="n">
        <v>17034</v>
      </c>
      <c r="E46" s="11">
        <f>'Option A'!$F$35</f>
        <v/>
      </c>
      <c r="F46" s="11">
        <f>E46-D46</f>
        <v/>
      </c>
      <c r="G46" s="10" t="inlineStr"/>
    </row>
    <row r="47">
      <c r="A47" s="16" t="inlineStr">
        <is>
          <t>Year 4</t>
        </is>
      </c>
      <c r="B47" s="16" t="inlineStr">
        <is>
          <t>Platform updates, security patches, L3 support for the core</t>
        </is>
      </c>
      <c r="C47" s="16" t="inlineStr">
        <is>
          <t>Quarterly in advance</t>
        </is>
      </c>
      <c r="D47" s="17" t="n">
        <v>17885</v>
      </c>
      <c r="E47" s="17">
        <f>'Option A'!$F$36</f>
        <v/>
      </c>
      <c r="F47" s="17">
        <f>E47-D47</f>
        <v/>
      </c>
      <c r="G47" s="16" t="inlineStr"/>
    </row>
    <row r="48">
      <c r="A48" s="10" t="inlineStr">
        <is>
          <t>Year 5</t>
        </is>
      </c>
      <c r="B48" s="10" t="inlineStr">
        <is>
          <t>Platform updates, security patches, L3 support for the core</t>
        </is>
      </c>
      <c r="C48" s="10" t="inlineStr">
        <is>
          <t>Quarterly in advance</t>
        </is>
      </c>
      <c r="D48" s="11" t="n">
        <v>18780</v>
      </c>
      <c r="E48" s="11">
        <f>'Option A'!$F$37</f>
        <v/>
      </c>
      <c r="F48" s="11">
        <f>E48-D48</f>
        <v/>
      </c>
      <c r="G48" s="10" t="inlineStr"/>
    </row>
    <row r="49">
      <c r="A49" s="14" t="inlineStr">
        <is>
          <t>Total</t>
        </is>
      </c>
      <c r="B49" s="14" t="inlineStr">
        <is>
          <t>Five years</t>
        </is>
      </c>
      <c r="C49" s="14" t="inlineStr"/>
      <c r="D49" s="15">
        <f>SUM(D44:D48)</f>
        <v/>
      </c>
      <c r="E49" s="15">
        <f>SUM(E44:E48)</f>
        <v/>
      </c>
      <c r="F49" s="15">
        <f>SUM(F44:F48)</f>
        <v/>
      </c>
      <c r="G49" s="14" t="inlineStr"/>
    </row>
    <row r="50" ht="13" customHeight="1">
      <c r="A50" s="19" t="inlineStr">
        <is>
          <t>Choice 1: continue the full AMC. Choice 3: rate card only, no retainer.</t>
        </is>
      </c>
    </row>
    <row r="52" ht="18" customHeight="1">
      <c r="A52" s="6" t="inlineStr">
        <is>
          <t>6. Escrow alternative (instead of Option C)</t>
        </is>
      </c>
    </row>
    <row r="53" ht="30" customHeight="1">
      <c r="A53" s="7" t="inlineStr"/>
      <c r="B53" s="7" t="inlineStr">
        <is>
          <t>Item</t>
        </is>
      </c>
      <c r="C53" s="7" t="inlineStr">
        <is>
          <t>Basis</t>
        </is>
      </c>
      <c r="D53" s="7" t="inlineStr">
        <is>
          <t>B$ per year</t>
        </is>
      </c>
      <c r="E53" s="7" t="inlineStr">
        <is>
          <t>Notes</t>
        </is>
      </c>
      <c r="F53" s="8" t="n"/>
      <c r="G53" s="9" t="n"/>
    </row>
    <row r="54">
      <c r="A54" s="10" t="inlineStr"/>
      <c r="B54" s="10" t="inlineStr">
        <is>
          <t>Escrow agent fees, indicative (low)</t>
        </is>
      </c>
      <c r="C54" s="10" t="inlineStr">
        <is>
          <t>Pass-through at cost</t>
        </is>
      </c>
      <c r="D54" s="11" t="n">
        <v>2500</v>
      </c>
      <c r="E54" s="10" t="inlineStr">
        <is>
          <t>Paid by IIFT; iorta's deposits included</t>
        </is>
      </c>
      <c r="F54" s="8" t="n"/>
      <c r="G54" s="9" t="n"/>
    </row>
    <row r="55">
      <c r="A55" s="10" t="inlineStr"/>
      <c r="B55" s="10" t="inlineStr">
        <is>
          <t>Escrow agent fees, indicative (high)</t>
        </is>
      </c>
      <c r="C55" s="10" t="inlineStr">
        <is>
          <t>Pass-through at cost</t>
        </is>
      </c>
      <c r="D55" s="11" t="n">
        <v>4000</v>
      </c>
      <c r="E55" s="10" t="inlineStr">
        <is>
          <t>Release on insolvency, ceasing to trade or to support the product, or uncured material breach</t>
        </is>
      </c>
      <c r="F55" s="8" t="n"/>
      <c r="G55" s="9" t="n"/>
    </row>
  </sheetData>
  <mergeCells count="20">
    <mergeCell ref="A32:G32"/>
    <mergeCell ref="A35:G35"/>
    <mergeCell ref="A38:G38"/>
    <mergeCell ref="F6:G6"/>
    <mergeCell ref="A29:G29"/>
    <mergeCell ref="A10:G10"/>
    <mergeCell ref="F7:G7"/>
    <mergeCell ref="F5:G5"/>
    <mergeCell ref="A34:G34"/>
    <mergeCell ref="E54:G54"/>
    <mergeCell ref="F8:G8"/>
    <mergeCell ref="A36:G36"/>
    <mergeCell ref="C20"/>
    <mergeCell ref="E53:G53"/>
    <mergeCell ref="E13"/>
    <mergeCell ref="F9:G9"/>
    <mergeCell ref="A37:G37"/>
    <mergeCell ref="E55:G55"/>
    <mergeCell ref="A50:G50"/>
    <mergeCell ref="A33:G33"/>
  </mergeCells>
  <printOptions horizontalCentered="1"/>
  <pageMargins left="0.4" right="0.4" top="0.6" bottom="0.6" header="0.5" footer="0.5"/>
  <pageSetup orientation="landscape" paperSize="9" fitToHeight="0" fitToWidth="1"/>
  <headerFooter>
    <oddHeader>&amp;R&amp;8 iorta TechNXT | IIFT Agent/Banca Portal &amp; Back-office</oddHeader>
    <oddFooter>&amp;L&amp;8 Commercial-in-Confidence&amp;R&amp;8 &amp;A | Page &amp;P of &amp;N</oddFooter>
    <evenHeader/>
    <evenFooter/>
    <firstHeader/>
    <firstFooter/>
  </headerFooter>
</worksheet>
</file>

<file path=xl/worksheets/sheet6.xml><?xml version="1.0" encoding="utf-8"?>
<worksheet xmlns="http://schemas.openxmlformats.org/spreadsheetml/2006/main">
  <sheetPr>
    <tabColor rgb="00F58220"/>
    <outlinePr summaryBelow="1" summaryRight="1"/>
    <pageSetUpPr fitToPage="1"/>
  </sheetPr>
  <dimension ref="A1:L29"/>
  <sheetViews>
    <sheetView showGridLines="0" zoomScale="90"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18" customWidth="1" min="3" max="3"/>
    <col width="13" customWidth="1" min="4" max="4"/>
    <col width="13" customWidth="1" min="5" max="5"/>
    <col width="13" customWidth="1" min="6" max="6"/>
    <col width="13" customWidth="1" min="7" max="7"/>
    <col width="13" customWidth="1" min="8" max="8"/>
    <col width="13" customWidth="1" min="9" max="9"/>
    <col width="36" customWidth="1" min="10" max="10"/>
    <col width="36" customWidth="1" min="11" max="11"/>
    <col width="64" customWidth="1" min="12" max="12"/>
  </cols>
  <sheetData>
    <row r="1" ht="22" customHeight="1">
      <c r="A1" s="1" t="inlineStr">
        <is>
          <t>Commercial pricing breakdown, RFP section 10 (items 1–21), Option A and Option B</t>
        </is>
      </c>
    </row>
    <row r="2">
      <c r="A2" s="2" t="inlineStr">
        <is>
          <t>iorta TechNXT – proposal to Insurans Islam Family Takaful Sendirian Berhad – October 2026</t>
        </is>
      </c>
    </row>
    <row r="4" ht="32" customHeight="1">
      <c r="A4" s="7" t="inlineStr">
        <is>
          <t>No</t>
        </is>
      </c>
      <c r="B4" s="7" t="inlineStr">
        <is>
          <t>Commercial component</t>
        </is>
      </c>
      <c r="C4" s="7" t="inlineStr">
        <is>
          <t>Pricing basis</t>
        </is>
      </c>
      <c r="D4" s="7" t="inlineStr">
        <is>
          <t>A: Portal (B$)</t>
        </is>
      </c>
      <c r="E4" s="7" t="inlineStr">
        <is>
          <t>A: Back-office (B$)</t>
        </is>
      </c>
      <c r="F4" s="7" t="inlineStr">
        <is>
          <t>A: Total (B$)</t>
        </is>
      </c>
      <c r="G4" s="7" t="inlineStr">
        <is>
          <t>B: Portal (B$)</t>
        </is>
      </c>
      <c r="H4" s="7" t="inlineStr">
        <is>
          <t>B: Back-office (B$)</t>
        </is>
      </c>
      <c r="I4" s="7" t="inlineStr">
        <is>
          <t>B: Total (B$)</t>
        </is>
      </c>
      <c r="J4" s="7" t="inlineStr">
        <is>
          <t>Option A: rate / treatment</t>
        </is>
      </c>
      <c r="K4" s="7" t="inlineStr">
        <is>
          <t>Option B: rate / treatment</t>
        </is>
      </c>
      <c r="L4" s="7" t="inlineStr">
        <is>
          <t>Remarks</t>
        </is>
      </c>
    </row>
    <row r="5">
      <c r="A5" s="21" t="n">
        <v>1</v>
      </c>
      <c r="B5" s="10" t="inlineStr">
        <is>
          <t>Software / application licence</t>
        </is>
      </c>
      <c r="C5" s="10" t="inlineStr">
        <is>
          <t>One-off, perpetual</t>
        </is>
      </c>
      <c r="D5" s="11" t="n">
        <v>32500</v>
      </c>
      <c r="E5" s="11" t="n">
        <v>27500</v>
      </c>
      <c r="F5" s="11">
        <f>D5+E5</f>
        <v/>
      </c>
      <c r="G5" s="11" t="n"/>
      <c r="H5" s="11" t="n"/>
      <c r="I5" s="11" t="n"/>
      <c r="J5" s="10" t="inlineStr"/>
      <c r="K5" s="10" t="inlineStr">
        <is>
          <t>Included in subscription</t>
        </is>
      </c>
      <c r="L5" s="10" t="inlineStr">
        <is>
          <t>Perpetual, non-exclusive, non-transferable enterprise licence for IIFT. Unlimited named users; production, DR and non-production environments included. Option A only.</t>
        </is>
      </c>
    </row>
    <row r="6">
      <c r="A6" s="23" t="n">
        <v>2</v>
      </c>
      <c r="B6" s="16" t="inlineStr">
        <is>
          <t>Implementation and customisation (project management, business analysis, design, configuration, customisation, deployment)</t>
        </is>
      </c>
      <c r="C6" s="16" t="inlineStr">
        <is>
          <t>One-off</t>
        </is>
      </c>
      <c r="D6" s="17" t="n">
        <v>36000</v>
      </c>
      <c r="E6" s="17" t="n">
        <v>28000</v>
      </c>
      <c r="F6" s="17">
        <f>D6+E6</f>
        <v/>
      </c>
      <c r="G6" s="17" t="n">
        <v>36000</v>
      </c>
      <c r="H6" s="17" t="n">
        <v>28000</v>
      </c>
      <c r="I6" s="17">
        <f>G6+H6</f>
        <v/>
      </c>
      <c r="J6" s="16" t="inlineStr"/>
      <c r="K6" s="16" t="inlineStr"/>
      <c r="L6" s="16" t="inlineStr">
        <is>
          <t>Fixed price for the functional scope in RFP section 4 and Appendix 3, configured for IIFT's seven products, workflows, documents and reports.</t>
        </is>
      </c>
    </row>
    <row r="7">
      <c r="A7" s="21" t="n">
        <v>3</v>
      </c>
      <c r="B7" s="10" t="inlineStr">
        <is>
          <t>Integration (per interface; see integration breakdown)</t>
        </is>
      </c>
      <c r="C7" s="10" t="inlineStr">
        <is>
          <t>Per interface</t>
        </is>
      </c>
      <c r="D7" s="11" t="n">
        <v>17500</v>
      </c>
      <c r="E7" s="11" t="n">
        <v>13000</v>
      </c>
      <c r="F7" s="11">
        <f>D7+E7</f>
        <v/>
      </c>
      <c r="G7" s="11" t="n">
        <v>17500</v>
      </c>
      <c r="H7" s="11" t="n">
        <v>13000</v>
      </c>
      <c r="I7" s="11">
        <f>G7+H7</f>
        <v/>
      </c>
      <c r="J7" s="10" t="inlineStr"/>
      <c r="K7" s="10" t="inlineStr"/>
      <c r="L7" s="10" t="inlineStr">
        <is>
          <t>Core system, FIN, AML screening, LDAP/AD, SMS gateway and Email/SMTP.</t>
        </is>
      </c>
    </row>
    <row r="8">
      <c r="A8" s="23" t="n">
        <v>4</v>
      </c>
      <c r="B8" s="16" t="inlineStr">
        <is>
          <t>Data migration</t>
        </is>
      </c>
      <c r="C8" s="16" t="inlineStr">
        <is>
          <t>One-off</t>
        </is>
      </c>
      <c r="D8" s="17" t="n">
        <v>3000</v>
      </c>
      <c r="E8" s="17" t="n">
        <v>4500</v>
      </c>
      <c r="F8" s="17">
        <f>D8+E8</f>
        <v/>
      </c>
      <c r="G8" s="17" t="n">
        <v>3000</v>
      </c>
      <c r="H8" s="17" t="n">
        <v>4500</v>
      </c>
      <c r="I8" s="17">
        <f>G8+H8</f>
        <v/>
      </c>
      <c r="J8" s="16" t="inlineStr"/>
      <c r="K8" s="16" t="inlineStr"/>
      <c r="L8" s="16" t="inlineStr">
        <is>
          <t>Extraction support, transformation, cleansing, two dry runs, load and reconciliation of agreed agent, agency, bank and participant data.</t>
        </is>
      </c>
    </row>
    <row r="9">
      <c r="A9" s="21" t="n">
        <v>5</v>
      </c>
      <c r="B9" s="10" t="inlineStr">
        <is>
          <t>Infrastructure / cloud</t>
        </is>
      </c>
      <c r="C9" s="10" t="inlineStr">
        <is>
          <t>Annual</t>
        </is>
      </c>
      <c r="D9" s="11" t="n"/>
      <c r="E9" s="11" t="n"/>
      <c r="F9" s="11" t="n"/>
      <c r="G9" s="11" t="n"/>
      <c r="H9" s="11" t="n"/>
      <c r="I9" s="11" t="n">
        <v>15000</v>
      </c>
      <c r="J9" s="10" t="inlineStr">
        <is>
          <t>IIFT procures (BOM); B$0 from iorta</t>
        </is>
      </c>
      <c r="K9" s="10" t="inlineStr">
        <is>
          <t>Cloud set-up B$ 15,000 one-off; managed services B$ 13,200 a year (Year 1); cloud at cost ≈ B$ 15,960 a year</t>
        </is>
      </c>
      <c r="L9" s="10" t="inlineStr">
        <is>
          <t>Servers or VMs, OS, storage, network and DR site to iorta's sizing. Indicative B$ 20,500–42,000 one-time if provisioned new (IIFT's own procurement).</t>
        </is>
      </c>
    </row>
    <row r="10">
      <c r="A10" s="23" t="n">
        <v>6</v>
      </c>
      <c r="B10" s="16" t="inlineStr">
        <is>
          <t>Database</t>
        </is>
      </c>
      <c r="C10" s="16" t="inlineStr">
        <is>
          <t>Annual</t>
        </is>
      </c>
      <c r="D10" s="17" t="n"/>
      <c r="E10" s="17" t="n"/>
      <c r="F10" s="17" t="n"/>
      <c r="G10" s="17" t="n"/>
      <c r="H10" s="17" t="n"/>
      <c r="I10" s="17" t="n"/>
      <c r="J10" s="16" t="inlineStr">
        <is>
          <t>B$0 – PostgreSQL 16, no licence fee</t>
        </is>
      </c>
      <c r="K10" s="16" t="inlineStr">
        <is>
          <t>In cloud actuals; support in managed services</t>
        </is>
      </c>
      <c r="L10" s="16" t="inlineStr">
        <is>
          <t>Open-source PostgreSQL licence. Database support is part of the AMC; optional commercial PostgreSQL support is listed in the BOM.</t>
        </is>
      </c>
    </row>
    <row r="11">
      <c r="A11" s="21" t="n">
        <v>7</v>
      </c>
      <c r="B11" s="10" t="inlineStr">
        <is>
          <t>Security (independent VAPT and re-test)</t>
        </is>
      </c>
      <c r="C11" s="10" t="inlineStr">
        <is>
          <t>One-off</t>
        </is>
      </c>
      <c r="D11" s="11" t="n">
        <v>4500</v>
      </c>
      <c r="E11" s="11" t="n">
        <v>4000</v>
      </c>
      <c r="F11" s="11">
        <f>D11+E11</f>
        <v/>
      </c>
      <c r="G11" s="11" t="n">
        <v>4500</v>
      </c>
      <c r="H11" s="11" t="n">
        <v>4000</v>
      </c>
      <c r="I11" s="11">
        <f>G11+H11</f>
        <v/>
      </c>
      <c r="J11" s="10" t="inlineStr"/>
      <c r="K11" s="10" t="inlineStr"/>
      <c r="L11" s="10" t="inlineStr">
        <is>
          <t>Independent vulnerability assessment and penetration test before go-live, remediation and re-test.</t>
        </is>
      </c>
    </row>
    <row r="12">
      <c r="A12" s="23" t="n">
        <v>8</v>
      </c>
      <c r="B12" s="16" t="inlineStr">
        <is>
          <t>Testing (SIT, performance, regression, UAT support)</t>
        </is>
      </c>
      <c r="C12" s="16" t="inlineStr">
        <is>
          <t>One-off</t>
        </is>
      </c>
      <c r="D12" s="17" t="n">
        <v>5500</v>
      </c>
      <c r="E12" s="17" t="n">
        <v>4500</v>
      </c>
      <c r="F12" s="17">
        <f>D12+E12</f>
        <v/>
      </c>
      <c r="G12" s="17" t="n">
        <v>5500</v>
      </c>
      <c r="H12" s="17" t="n">
        <v>4500</v>
      </c>
      <c r="I12" s="17">
        <f>G12+H12</f>
        <v/>
      </c>
      <c r="J12" s="16" t="inlineStr"/>
      <c r="K12" s="16" t="inlineStr"/>
      <c r="L12" s="16" t="inlineStr">
        <is>
          <t>Test strategy, SIT cases and execution, performance test, automated regression suite, UAT support and defect fixing.</t>
        </is>
      </c>
    </row>
    <row r="13">
      <c r="A13" s="21" t="n">
        <v>9</v>
      </c>
      <c r="B13" s="10" t="inlineStr">
        <is>
          <t>Training</t>
        </is>
      </c>
      <c r="C13" s="10" t="inlineStr">
        <is>
          <t>One-off</t>
        </is>
      </c>
      <c r="D13" s="11" t="n">
        <v>2500</v>
      </c>
      <c r="E13" s="11" t="n">
        <v>2000</v>
      </c>
      <c r="F13" s="11">
        <f>D13+E13</f>
        <v/>
      </c>
      <c r="G13" s="11" t="n">
        <v>2500</v>
      </c>
      <c r="H13" s="11" t="n">
        <v>2000</v>
      </c>
      <c r="I13" s="11">
        <f>G13+H13</f>
        <v/>
      </c>
      <c r="J13" s="10" t="inlineStr"/>
      <c r="K13" s="10" t="inlineStr"/>
      <c r="L13" s="10" t="inlineStr">
        <is>
          <t>End-user, administrator and technical training including materials.</t>
        </is>
      </c>
    </row>
    <row r="14">
      <c r="A14" s="23" t="n">
        <v>10</v>
      </c>
      <c r="B14" s="16" t="inlineStr">
        <is>
          <t>Documentation</t>
        </is>
      </c>
      <c r="C14" s="16" t="inlineStr">
        <is>
          <t>One-off</t>
        </is>
      </c>
      <c r="D14" s="17" t="n">
        <v>2500</v>
      </c>
      <c r="E14" s="17" t="n">
        <v>2500</v>
      </c>
      <c r="F14" s="17">
        <f>D14+E14</f>
        <v/>
      </c>
      <c r="G14" s="17" t="n">
        <v>2500</v>
      </c>
      <c r="H14" s="17" t="n">
        <v>2500</v>
      </c>
      <c r="I14" s="17">
        <f>G14+H14</f>
        <v/>
      </c>
      <c r="J14" s="16" t="inlineStr"/>
      <c r="K14" s="16" t="inlineStr"/>
      <c r="L14" s="16" t="inlineStr">
        <is>
          <t>User, administrator, technical and operations manuals; maintained throughout the contract.</t>
        </is>
      </c>
    </row>
    <row r="15">
      <c r="A15" s="21" t="n">
        <v>11</v>
      </c>
      <c r="B15" s="10" t="inlineStr">
        <is>
          <t>Warranty</t>
        </is>
      </c>
      <c r="C15" s="10" t="inlineStr">
        <is>
          <t>Included</t>
        </is>
      </c>
      <c r="D15" s="11" t="n"/>
      <c r="E15" s="11" t="n"/>
      <c r="F15" s="11" t="n"/>
      <c r="G15" s="11" t="n"/>
      <c r="H15" s="11" t="n"/>
      <c r="I15" s="11" t="n"/>
      <c r="J15" s="10" t="inlineStr">
        <is>
          <t>Included – 6 months</t>
        </is>
      </c>
      <c r="K15" s="10" t="inlineStr">
        <is>
          <t>Included – 6 months</t>
        </is>
      </c>
      <c r="L15" s="10" t="inlineStr">
        <is>
          <t>Defect correction at no charge for 6 months from production go-live.</t>
        </is>
      </c>
    </row>
    <row r="16">
      <c r="A16" s="14" t="inlineStr"/>
      <c r="B16" s="14" t="inlineStr">
        <is>
          <t>Subtotal one-time (items 1–11)</t>
        </is>
      </c>
      <c r="C16" s="14" t="inlineStr">
        <is>
          <t>One-off</t>
        </is>
      </c>
      <c r="D16" s="15">
        <f>SUM(D5:D14)</f>
        <v/>
      </c>
      <c r="E16" s="15">
        <f>SUM(E5:E14)</f>
        <v/>
      </c>
      <c r="F16" s="15">
        <f>SUM(F5:F14)</f>
        <v/>
      </c>
      <c r="G16" s="15">
        <f>SUM(G5:G14)</f>
        <v/>
      </c>
      <c r="H16" s="15">
        <f>SUM(H5:H14)</f>
        <v/>
      </c>
      <c r="I16" s="15">
        <f>SUM(I5:I14)</f>
        <v/>
      </c>
      <c r="J16" s="14" t="inlineStr">
        <is>
          <t>Fixed price</t>
        </is>
      </c>
      <c r="K16" s="14" t="inlineStr">
        <is>
          <t>Fixed price; includes the cloud set-up (item 5)</t>
        </is>
      </c>
      <c r="L16" s="14" t="inlineStr">
        <is>
          <t>Inclusive of WHT; exclusive of OPE and third-party charges</t>
        </is>
      </c>
    </row>
    <row r="17">
      <c r="A17" s="23" t="n">
        <v>12</v>
      </c>
      <c r="B17" s="16" t="inlineStr">
        <is>
          <t>Year 1 maintenance (AMC): Stabilisation &amp; Hypercare</t>
        </is>
      </c>
      <c r="C17" s="16" t="inlineStr">
        <is>
          <t>Annual</t>
        </is>
      </c>
      <c r="D17" s="17" t="n">
        <v>18920</v>
      </c>
      <c r="E17" s="17" t="n">
        <v>15070</v>
      </c>
      <c r="F17" s="17">
        <f>D17+E17</f>
        <v/>
      </c>
      <c r="G17" s="17" t="n">
        <v>22200</v>
      </c>
      <c r="H17" s="17" t="n">
        <v>18600</v>
      </c>
      <c r="I17" s="17">
        <f>G17+H17</f>
        <v/>
      </c>
      <c r="J17" s="16" t="inlineStr"/>
      <c r="K17" s="16" t="inlineStr"/>
      <c r="L17" s="16" t="inlineStr">
        <is>
          <t>Intensive post-go-live support, defect resolution, performance tuning, monitoring and stabilisation of integrations. Includes the 6-month defect warranty. Option B: subscription for the year.</t>
        </is>
      </c>
    </row>
    <row r="18">
      <c r="A18" s="21" t="n">
        <v>13</v>
      </c>
      <c r="B18" s="10" t="inlineStr">
        <is>
          <t>Year 2 maintenance (AMC): Operational Support</t>
        </is>
      </c>
      <c r="C18" s="10" t="inlineStr">
        <is>
          <t>Annual</t>
        </is>
      </c>
      <c r="D18" s="11" t="n">
        <v>19866</v>
      </c>
      <c r="E18" s="11" t="n">
        <v>15824</v>
      </c>
      <c r="F18" s="11">
        <f>D18+E18</f>
        <v/>
      </c>
      <c r="G18" s="11" t="n">
        <v>23316</v>
      </c>
      <c r="H18" s="11" t="n">
        <v>19536</v>
      </c>
      <c r="I18" s="11">
        <f>G18+H18</f>
        <v/>
      </c>
      <c r="J18" s="10" t="inlineStr"/>
      <c r="K18" s="10" t="inlineStr"/>
      <c r="L18" s="10" t="inlineStr">
        <is>
          <t>BAU incident management, preventive maintenance, security patches, performance monitoring and minor enhancements. Option B: subscription for the year.</t>
        </is>
      </c>
    </row>
    <row r="19">
      <c r="A19" s="23" t="n">
        <v>14</v>
      </c>
      <c r="B19" s="16" t="inlineStr">
        <is>
          <t>Year 3 maintenance (AMC): Optimisation</t>
        </is>
      </c>
      <c r="C19" s="16" t="inlineStr">
        <is>
          <t>Annual</t>
        </is>
      </c>
      <c r="D19" s="17" t="n">
        <v>20859</v>
      </c>
      <c r="E19" s="17" t="n">
        <v>16615</v>
      </c>
      <c r="F19" s="17">
        <f>D19+E19</f>
        <v/>
      </c>
      <c r="G19" s="17" t="n">
        <v>24480</v>
      </c>
      <c r="H19" s="17" t="n">
        <v>20508</v>
      </c>
      <c r="I19" s="17">
        <f>G19+H19</f>
        <v/>
      </c>
      <c r="J19" s="16" t="inlineStr"/>
      <c r="K19" s="16" t="inlineStr"/>
      <c r="L19" s="16" t="inlineStr">
        <is>
          <t>System optimisation, reporting improvements, integration improvements and technology review. Option B: subscription for the year.</t>
        </is>
      </c>
    </row>
    <row r="20">
      <c r="A20" s="21" t="n">
        <v>15</v>
      </c>
      <c r="B20" s="10" t="inlineStr">
        <is>
          <t>Year 4 maintenance (AMC): Technology Refresh</t>
        </is>
      </c>
      <c r="C20" s="10" t="inlineStr">
        <is>
          <t>Annual</t>
        </is>
      </c>
      <c r="D20" s="11" t="n">
        <v>21902</v>
      </c>
      <c r="E20" s="11" t="n">
        <v>17445</v>
      </c>
      <c r="F20" s="11">
        <f>D20+E20</f>
        <v/>
      </c>
      <c r="G20" s="11" t="n">
        <v>25704</v>
      </c>
      <c r="H20" s="11" t="n">
        <v>21528</v>
      </c>
      <c r="I20" s="11">
        <f>G20+H20</f>
        <v/>
      </c>
      <c r="J20" s="10" t="inlineStr"/>
      <c r="K20" s="10" t="inlineStr"/>
      <c r="L20" s="10" t="inlineStr">
        <is>
          <t>Platform compatibility review, security hardening, version upgrades and capacity assessment. Option B: subscription for the year.</t>
        </is>
      </c>
    </row>
    <row r="21">
      <c r="A21" s="23" t="n">
        <v>16</v>
      </c>
      <c r="B21" s="16" t="inlineStr">
        <is>
          <t>Year 5 maintenance (AMC): Sustainability &amp; Transition</t>
        </is>
      </c>
      <c r="C21" s="16" t="inlineStr">
        <is>
          <t>Annual</t>
        </is>
      </c>
      <c r="D21" s="17" t="n">
        <v>22997</v>
      </c>
      <c r="E21" s="17" t="n">
        <v>18318</v>
      </c>
      <c r="F21" s="17">
        <f>D21+E21</f>
        <v/>
      </c>
      <c r="G21" s="17" t="n">
        <v>26988</v>
      </c>
      <c r="H21" s="17" t="n">
        <v>22608</v>
      </c>
      <c r="I21" s="17">
        <f>G21+H21</f>
        <v/>
      </c>
      <c r="J21" s="16" t="inlineStr"/>
      <c r="K21" s="16" t="inlineStr"/>
      <c r="L21" s="16" t="inlineStr">
        <is>
          <t>Comprehensive health assessment, documentation refresh, knowledge transfer, technology roadmap and exit/renewal preparation. Option B: subscription for the year.</t>
        </is>
      </c>
    </row>
    <row r="22">
      <c r="A22" s="14" t="inlineStr"/>
      <c r="B22" s="14" t="inlineStr">
        <is>
          <t>Subtotal Years 1–5 (items 12–16)</t>
        </is>
      </c>
      <c r="C22" s="14" t="inlineStr">
        <is>
          <t>Annual</t>
        </is>
      </c>
      <c r="D22" s="15">
        <f>SUM(D17:D21)</f>
        <v/>
      </c>
      <c r="E22" s="15">
        <f>SUM(E17:E21)</f>
        <v/>
      </c>
      <c r="F22" s="15">
        <f>SUM(F17:F21)</f>
        <v/>
      </c>
      <c r="G22" s="15">
        <f>SUM(G17:G21)</f>
        <v/>
      </c>
      <c r="H22" s="15">
        <f>SUM(H17:H21)</f>
        <v/>
      </c>
      <c r="I22" s="15">
        <f>SUM(I17:I21)</f>
        <v/>
      </c>
      <c r="J22" s="14" t="inlineStr">
        <is>
          <t>AMC, +5% a year</t>
        </is>
      </c>
      <c r="K22" s="14" t="inlineStr">
        <is>
          <t>Subscription, +5% a year</t>
        </is>
      </c>
      <c r="L22" s="14" t="inlineStr">
        <is>
          <t>Managed services (item 5, Option B) are shown on the Option B sheet</t>
        </is>
      </c>
    </row>
    <row r="23">
      <c r="A23" s="21" t="n">
        <v>17</v>
      </c>
      <c r="B23" s="10" t="inlineStr">
        <is>
          <t>Enhancements and change requests</t>
        </is>
      </c>
      <c r="C23" s="10" t="inlineStr">
        <is>
          <t>Per man-day / per hour</t>
        </is>
      </c>
      <c r="D23" s="11" t="n"/>
      <c r="E23" s="11" t="n"/>
      <c r="F23" s="11" t="n"/>
      <c r="G23" s="11" t="n"/>
      <c r="H23" s="11" t="n"/>
      <c r="I23" s="11" t="n"/>
      <c r="J23" s="10" t="inlineStr">
        <is>
          <t>B$ 680 per man-day; B$ 90 per hour</t>
        </is>
      </c>
      <c r="K23" s="10" t="inlineStr">
        <is>
          <t>B$ 680 per man-day; B$ 90 per hour</t>
        </is>
      </c>
      <c r="L23" s="10" t="inlineStr">
        <is>
          <t>Blended rate for all roles; quoted per change request after impact assessment. Rates rise 5% a year.</t>
        </is>
      </c>
    </row>
    <row r="24">
      <c r="A24" s="23" t="n">
        <v>18</v>
      </c>
      <c r="B24" s="16" t="inlineStr">
        <is>
          <t>Onsite support (unplanned visits)</t>
        </is>
      </c>
      <c r="C24" s="16" t="inlineStr">
        <is>
          <t>Per day</t>
        </is>
      </c>
      <c r="D24" s="17" t="n"/>
      <c r="E24" s="17" t="n"/>
      <c r="F24" s="17" t="n"/>
      <c r="G24" s="17" t="n"/>
      <c r="H24" s="17" t="n"/>
      <c r="I24" s="17" t="n"/>
      <c r="J24" s="16" t="inlineStr">
        <is>
          <t>B$ 850 per day + OPE</t>
        </is>
      </c>
      <c r="K24" s="16" t="inlineStr">
        <is>
          <t>B$ 850 per day + OPE</t>
        </is>
      </c>
      <c r="L24" s="16" t="inlineStr">
        <is>
          <t>Planned onsite phases are covered by the fixed fees; only travel costs are charged as OPE. Rates rise 5% a year.</t>
        </is>
      </c>
    </row>
    <row r="25">
      <c r="A25" s="21" t="n">
        <v>19</v>
      </c>
      <c r="B25" s="10" t="inlineStr">
        <is>
          <t>After-hours support</t>
        </is>
      </c>
      <c r="C25" s="10" t="inlineStr">
        <is>
          <t>Per hour / Included</t>
        </is>
      </c>
      <c r="D25" s="11" t="n"/>
      <c r="E25" s="11" t="n"/>
      <c r="F25" s="11" t="n"/>
      <c r="G25" s="11" t="n"/>
      <c r="H25" s="11" t="n"/>
      <c r="I25" s="11" t="n"/>
      <c r="J25" s="10" t="inlineStr">
        <is>
          <t>P1 (Critical): included; other after-hours work: B$ 120 per hour</t>
        </is>
      </c>
      <c r="K25" s="10" t="inlineStr">
        <is>
          <t>P1 (Critical): included; other after-hours work: B$ 120 per hour</t>
        </is>
      </c>
      <c r="L25" s="10" t="inlineStr">
        <is>
          <t>After-hours work other than P1 is performed only on IIFT request. Rates rise 5% a year.</t>
        </is>
      </c>
    </row>
    <row r="26">
      <c r="A26" s="23" t="n">
        <v>20</v>
      </c>
      <c r="B26" s="16" t="inlineStr">
        <is>
          <t>Third-party charges</t>
        </is>
      </c>
      <c r="C26" s="16" t="inlineStr">
        <is>
          <t>Annual / usage</t>
        </is>
      </c>
      <c r="D26" s="17" t="n"/>
      <c r="E26" s="17" t="n"/>
      <c r="F26" s="17" t="n"/>
      <c r="G26" s="17" t="n"/>
      <c r="H26" s="17" t="n"/>
      <c r="I26" s="17" t="n"/>
      <c r="J26" s="16" t="inlineStr">
        <is>
          <t>Excluded – see Bill of Materials</t>
        </is>
      </c>
      <c r="K26" s="16" t="inlineStr">
        <is>
          <t>Excluded – see Bill of Materials</t>
        </is>
      </c>
      <c r="L26" s="16" t="inlineStr">
        <is>
          <t>SMS messages, AML data service, SSL certificates, e-mail relay: indicative B$ 600–4,720 a year, paid by IIFT or passed through at cost.</t>
        </is>
      </c>
    </row>
    <row r="27">
      <c r="A27" s="21" t="n">
        <v>21</v>
      </c>
      <c r="B27" s="10" t="inlineStr">
        <is>
          <t>Exit / transition</t>
        </is>
      </c>
      <c r="C27" s="10" t="inlineStr">
        <is>
          <t>Included</t>
        </is>
      </c>
      <c r="D27" s="11" t="n"/>
      <c r="E27" s="11" t="n"/>
      <c r="F27" s="11" t="n"/>
      <c r="G27" s="11" t="n"/>
      <c r="H27" s="11" t="n"/>
      <c r="I27" s="11" t="n"/>
      <c r="J27" s="10" t="inlineStr">
        <is>
          <t>Included in Year 5 AMC</t>
        </is>
      </c>
      <c r="K27" s="10" t="inlineStr">
        <is>
          <t>Included in the subscription (end of term)</t>
        </is>
      </c>
      <c r="L27" s="10" t="inlineStr">
        <is>
          <t>Knowledge transfer, data extraction and technical handover at contract end. Core source code handover is Option C.</t>
        </is>
      </c>
    </row>
    <row r="29" ht="13" customHeight="1">
      <c r="A29" s="19" t="inlineStr">
        <is>
          <t>Rates for items 17–19 are Year 1 rates and rise by 5% a year (Rate card sheet). Third-party charges (item 20) are detailed in the Bill of Materials workbook.</t>
        </is>
      </c>
    </row>
  </sheetData>
  <mergeCells count="1">
    <mergeCell ref="A29:L29"/>
  </mergeCells>
  <printOptions horizontalCentered="1"/>
  <pageMargins left="0.4" right="0.4" top="0.6" bottom="0.6" header="0.5" footer="0.5"/>
  <pageSetup orientation="landscape" paperSize="9" fitToHeight="0" fitToWidth="1"/>
  <headerFooter>
    <oddHeader>&amp;R&amp;8 iorta TechNXT | IIFT Agent/Banca Portal &amp; Back-office</oddHeader>
    <oddFooter>&amp;L&amp;8 Commercial-in-Confidence&amp;R&amp;8 &amp;A | Page &amp;P of &amp;N</oddFooter>
    <evenHeader/>
    <evenFooter/>
    <firstHeader/>
    <firstFooter/>
  </headerFooter>
</worksheet>
</file>

<file path=xl/worksheets/sheet7.xml><?xml version="1.0" encoding="utf-8"?>
<worksheet xmlns="http://schemas.openxmlformats.org/spreadsheetml/2006/main">
  <sheetPr>
    <tabColor rgb="00F58220"/>
    <outlinePr summaryBelow="1" summaryRight="1"/>
    <pageSetUpPr fitToPage="1"/>
  </sheetPr>
  <dimension ref="A1:M35"/>
  <sheetViews>
    <sheetView showGridLines="0" zoomScale="90" workbookViewId="0">
      <pane xSplit="2" ySplit="3" topLeftCell="C4" activePane="bottomRight" state="frozen"/>
      <selection pane="topRight"/>
      <selection pane="bottomLeft"/>
      <selection pane="bottomRight" activeCell="A1" sqref="A1"/>
    </sheetView>
  </sheetViews>
  <sheetFormatPr baseColWidth="8" defaultRowHeight="15"/>
  <cols>
    <col width="44" customWidth="1" min="1" max="1"/>
    <col width="26" customWidth="1" min="2" max="2"/>
    <col width="12" customWidth="1" min="3" max="3"/>
    <col width="9" customWidth="1" min="4" max="4"/>
    <col width="8" customWidth="1" min="5" max="5"/>
    <col width="11" customWidth="1" min="6" max="6"/>
    <col width="11" customWidth="1" min="7" max="7"/>
    <col width="11" customWidth="1" min="8" max="8"/>
    <col width="11" customWidth="1" min="9" max="9"/>
    <col width="11" customWidth="1" min="10" max="10"/>
    <col width="9" customWidth="1" min="11" max="11"/>
    <col width="13" customWidth="1" min="12" max="12"/>
    <col width="11" customWidth="1" min="13" max="13"/>
  </cols>
  <sheetData>
    <row r="1" ht="22" customHeight="1">
      <c r="A1" s="1" t="inlineStr">
        <is>
          <t>Out-of-pocket expenses (OPE): onsite plan and estimate, recharged at cost as disbursements</t>
        </is>
      </c>
    </row>
    <row r="2">
      <c r="A2" s="2" t="inlineStr">
        <is>
          <t>iorta TechNXT – proposal to Insurans Islam Family Takaful Sendirian Berhad – October 2026</t>
        </is>
      </c>
    </row>
    <row r="4" ht="18" customHeight="1">
      <c r="A4" s="6" t="inlineStr">
        <is>
          <t>1. Unit rates (B$)</t>
        </is>
      </c>
    </row>
    <row r="5" ht="20" customHeight="1">
      <c r="A5" s="7" t="inlineStr">
        <is>
          <t>Cost item</t>
        </is>
      </c>
      <c r="B5" s="7" t="inlineStr">
        <is>
          <t>From Malaysia</t>
        </is>
      </c>
      <c r="C5" s="7" t="inlineStr">
        <is>
          <t>From India</t>
        </is>
      </c>
      <c r="D5" s="7" t="inlineStr">
        <is>
          <t>Basis</t>
        </is>
      </c>
      <c r="E5" s="8" t="n"/>
      <c r="F5" s="8" t="n"/>
      <c r="G5" s="8" t="n"/>
      <c r="H5" s="8" t="n"/>
      <c r="I5" s="9" t="n"/>
    </row>
    <row r="6">
      <c r="A6" s="10" t="inlineStr">
        <is>
          <t>Return airfare (economy)</t>
        </is>
      </c>
      <c r="B6" s="28" t="n">
        <v>500</v>
      </c>
      <c r="C6" s="28" t="n">
        <v>1200</v>
      </c>
      <c r="D6" s="10" t="inlineStr">
        <is>
          <t>Per trip, at actuals</t>
        </is>
      </c>
      <c r="E6" s="8" t="n"/>
      <c r="F6" s="8" t="n"/>
      <c r="G6" s="8" t="n"/>
      <c r="H6" s="8" t="n"/>
      <c r="I6" s="9" t="n"/>
    </row>
    <row r="7">
      <c r="A7" s="10" t="inlineStr">
        <is>
          <t>Travel insurance</t>
        </is>
      </c>
      <c r="B7" s="28" t="n">
        <v>50</v>
      </c>
      <c r="C7" s="28" t="n">
        <v>70</v>
      </c>
      <c r="D7" s="10" t="inlineStr">
        <is>
          <t>Per trip, at actuals</t>
        </is>
      </c>
      <c r="E7" s="8" t="n"/>
      <c r="F7" s="8" t="n"/>
      <c r="G7" s="8" t="n"/>
      <c r="H7" s="8" t="n"/>
      <c r="I7" s="9" t="n"/>
    </row>
    <row r="8">
      <c r="A8" s="10" t="inlineStr">
        <is>
          <t>Airport transfers</t>
        </is>
      </c>
      <c r="B8" s="28" t="n">
        <v>80</v>
      </c>
      <c r="C8" s="28" t="n">
        <v>80</v>
      </c>
      <c r="D8" s="10" t="inlineStr">
        <is>
          <t>Per trip, at actuals</t>
        </is>
      </c>
      <c r="E8" s="8" t="n"/>
      <c r="F8" s="8" t="n"/>
      <c r="G8" s="8" t="n"/>
      <c r="H8" s="8" t="n"/>
      <c r="I8" s="9" t="n"/>
    </row>
    <row r="9">
      <c r="A9" s="10" t="inlineStr">
        <is>
          <t>Visa</t>
        </is>
      </c>
      <c r="B9" s="28" t="n">
        <v>0</v>
      </c>
      <c r="C9" s="28" t="n">
        <v>40</v>
      </c>
      <c r="D9" s="10" t="inlineStr">
        <is>
          <t>Per trip, at actuals</t>
        </is>
      </c>
      <c r="E9" s="8" t="n"/>
      <c r="F9" s="8" t="n"/>
      <c r="G9" s="8" t="n"/>
      <c r="H9" s="8" t="n"/>
      <c r="I9" s="9" t="n"/>
    </row>
    <row r="10">
      <c r="A10" s="10" t="inlineStr">
        <is>
          <t>Accommodation per night</t>
        </is>
      </c>
      <c r="B10" s="28" t="n">
        <v>150</v>
      </c>
      <c r="C10" s="28" t="n">
        <v>150</v>
      </c>
      <c r="D10" s="10" t="inlineStr">
        <is>
          <t>Per night, at actuals</t>
        </is>
      </c>
      <c r="E10" s="8" t="n"/>
      <c r="F10" s="8" t="n"/>
      <c r="G10" s="8" t="n"/>
      <c r="H10" s="8" t="n"/>
      <c r="I10" s="9" t="n"/>
    </row>
    <row r="11">
      <c r="A11" s="10" t="inlineStr">
        <is>
          <t>Per diem (USD per day)</t>
        </is>
      </c>
      <c r="B11" s="28" t="n">
        <v>50</v>
      </c>
      <c r="C11" s="28" t="n">
        <v>50</v>
      </c>
      <c r="D11" s="10" t="inlineStr">
        <is>
          <t>Fixed; per day onsite including travel days</t>
        </is>
      </c>
      <c r="E11" s="8" t="n"/>
      <c r="F11" s="8" t="n"/>
      <c r="G11" s="8" t="n"/>
      <c r="H11" s="8" t="n"/>
      <c r="I11" s="9" t="n"/>
    </row>
    <row r="12">
      <c r="A12" s="10" t="inlineStr">
        <is>
          <t>Per diem (B$ per day)</t>
        </is>
      </c>
      <c r="B12" s="11">
        <f>ROUND(B11*Summary!$C$11,0)</f>
        <v/>
      </c>
      <c r="C12" s="11">
        <f>ROUND(C11*Summary!$C$11,0)</f>
        <v/>
      </c>
      <c r="D12" s="10" t="inlineStr">
        <is>
          <t>Converted at the indicative rate on the Summary sheet</t>
        </is>
      </c>
      <c r="E12" s="8" t="n"/>
      <c r="F12" s="8" t="n"/>
      <c r="G12" s="8" t="n"/>
      <c r="H12" s="8" t="n"/>
      <c r="I12" s="9" t="n"/>
    </row>
    <row r="14" ht="18" customHeight="1">
      <c r="A14" s="6" t="inlineStr">
        <is>
          <t>2. Onsite plan and estimate</t>
        </is>
      </c>
    </row>
    <row r="15" ht="30" customHeight="1">
      <c r="A15" s="7" t="inlineStr">
        <is>
          <t>Phase</t>
        </is>
      </c>
      <c r="B15" s="7" t="inlineStr">
        <is>
          <t>Role</t>
        </is>
      </c>
      <c r="C15" s="7" t="inlineStr">
        <is>
          <t>From</t>
        </is>
      </c>
      <c r="D15" s="7" t="inlineStr">
        <is>
          <t>Nights</t>
        </is>
      </c>
      <c r="E15" s="7" t="inlineStr">
        <is>
          <t>Days</t>
        </is>
      </c>
      <c r="F15" s="7" t="inlineStr">
        <is>
          <t>Airfare</t>
        </is>
      </c>
      <c r="G15" s="7" t="inlineStr">
        <is>
          <t>Hotel</t>
        </is>
      </c>
      <c r="H15" s="7" t="inlineStr">
        <is>
          <t>Per diem</t>
        </is>
      </c>
      <c r="I15" s="7" t="inlineStr">
        <is>
          <t>Insurance</t>
        </is>
      </c>
      <c r="J15" s="7" t="inlineStr">
        <is>
          <t>Transfers</t>
        </is>
      </c>
      <c r="K15" s="7" t="inlineStr">
        <is>
          <t>Visa</t>
        </is>
      </c>
      <c r="L15" s="7" t="inlineStr">
        <is>
          <t>Total (B$)</t>
        </is>
      </c>
      <c r="M15" s="7" t="inlineStr">
        <is>
          <t>Type</t>
        </is>
      </c>
    </row>
    <row r="16">
      <c r="A16" s="10" t="inlineStr">
        <is>
          <t>Requirements gathering and fit-gap (weeks 1–4)</t>
        </is>
      </c>
      <c r="B16" s="10" t="inlineStr">
        <is>
          <t>Project Manager</t>
        </is>
      </c>
      <c r="C16" s="10" t="inlineStr">
        <is>
          <t>Malaysia</t>
        </is>
      </c>
      <c r="D16" s="21" t="n">
        <v>12</v>
      </c>
      <c r="E16" s="21">
        <f>D16+1</f>
        <v/>
      </c>
      <c r="F16" s="11">
        <f>$B$6</f>
        <v/>
      </c>
      <c r="G16" s="11">
        <f>D16*$B$10</f>
        <v/>
      </c>
      <c r="H16" s="11">
        <f>E16*$B$12</f>
        <v/>
      </c>
      <c r="I16" s="11">
        <f>$B$7</f>
        <v/>
      </c>
      <c r="J16" s="11">
        <f>$B$8</f>
        <v/>
      </c>
      <c r="K16" s="11">
        <f>$B$9</f>
        <v/>
      </c>
      <c r="L16" s="11">
        <f>SUM(F16:K16)</f>
        <v/>
      </c>
      <c r="M16" s="10" t="inlineStr">
        <is>
          <t>Core</t>
        </is>
      </c>
    </row>
    <row r="17">
      <c r="A17" s="16" t="inlineStr">
        <is>
          <t>Requirements gathering and fit-gap (weeks 1–4)</t>
        </is>
      </c>
      <c r="B17" s="16" t="inlineStr">
        <is>
          <t>Business Analyst</t>
        </is>
      </c>
      <c r="C17" s="16" t="inlineStr">
        <is>
          <t>Malaysia</t>
        </is>
      </c>
      <c r="D17" s="23" t="n">
        <v>19</v>
      </c>
      <c r="E17" s="23">
        <f>D17+1</f>
        <v/>
      </c>
      <c r="F17" s="17">
        <f>$B$6</f>
        <v/>
      </c>
      <c r="G17" s="17">
        <f>D17*$B$10</f>
        <v/>
      </c>
      <c r="H17" s="17">
        <f>E17*$B$12</f>
        <v/>
      </c>
      <c r="I17" s="17">
        <f>$B$7</f>
        <v/>
      </c>
      <c r="J17" s="17">
        <f>$B$8</f>
        <v/>
      </c>
      <c r="K17" s="17">
        <f>$B$9</f>
        <v/>
      </c>
      <c r="L17" s="17">
        <f>SUM(F17:K17)</f>
        <v/>
      </c>
      <c r="M17" s="16" t="inlineStr">
        <is>
          <t>Core</t>
        </is>
      </c>
    </row>
    <row r="18">
      <c r="A18" s="10" t="inlineStr">
        <is>
          <t>Requirements gathering and fit-gap (weeks 1–4)</t>
        </is>
      </c>
      <c r="B18" s="10" t="inlineStr">
        <is>
          <t>Solution Architect</t>
        </is>
      </c>
      <c r="C18" s="10" t="inlineStr">
        <is>
          <t>India</t>
        </is>
      </c>
      <c r="D18" s="21" t="n">
        <v>12</v>
      </c>
      <c r="E18" s="21">
        <f>D18+1</f>
        <v/>
      </c>
      <c r="F18" s="11">
        <f>$C$6</f>
        <v/>
      </c>
      <c r="G18" s="11">
        <f>D18*$C$10</f>
        <v/>
      </c>
      <c r="H18" s="11">
        <f>E18*$C$12</f>
        <v/>
      </c>
      <c r="I18" s="11">
        <f>$C$7</f>
        <v/>
      </c>
      <c r="J18" s="11">
        <f>$C$8</f>
        <v/>
      </c>
      <c r="K18" s="11">
        <f>$C$9</f>
        <v/>
      </c>
      <c r="L18" s="11">
        <f>SUM(F18:K18)</f>
        <v/>
      </c>
      <c r="M18" s="10" t="inlineStr">
        <is>
          <t>Core</t>
        </is>
      </c>
    </row>
    <row r="19">
      <c r="A19" s="16" t="inlineStr">
        <is>
          <t>User training and UAT support (weeks 19–23)</t>
        </is>
      </c>
      <c r="B19" s="16" t="inlineStr">
        <is>
          <t>Business Analyst / Trainer</t>
        </is>
      </c>
      <c r="C19" s="16" t="inlineStr">
        <is>
          <t>Malaysia</t>
        </is>
      </c>
      <c r="D19" s="23" t="n">
        <v>19</v>
      </c>
      <c r="E19" s="23">
        <f>D19+1</f>
        <v/>
      </c>
      <c r="F19" s="17">
        <f>$B$6</f>
        <v/>
      </c>
      <c r="G19" s="17">
        <f>D19*$B$10</f>
        <v/>
      </c>
      <c r="H19" s="17">
        <f>E19*$B$12</f>
        <v/>
      </c>
      <c r="I19" s="17">
        <f>$B$7</f>
        <v/>
      </c>
      <c r="J19" s="17">
        <f>$B$8</f>
        <v/>
      </c>
      <c r="K19" s="17">
        <f>$B$9</f>
        <v/>
      </c>
      <c r="L19" s="17">
        <f>SUM(F19:K19)</f>
        <v/>
      </c>
      <c r="M19" s="16" t="inlineStr">
        <is>
          <t>Core</t>
        </is>
      </c>
    </row>
    <row r="20">
      <c r="A20" s="10" t="inlineStr">
        <is>
          <t>User training and UAT support (weeks 19–23)</t>
        </is>
      </c>
      <c r="B20" s="10" t="inlineStr">
        <is>
          <t>QA Lead</t>
        </is>
      </c>
      <c r="C20" s="10" t="inlineStr">
        <is>
          <t>India</t>
        </is>
      </c>
      <c r="D20" s="21" t="n">
        <v>12</v>
      </c>
      <c r="E20" s="21">
        <f>D20+1</f>
        <v/>
      </c>
      <c r="F20" s="11">
        <f>$C$6</f>
        <v/>
      </c>
      <c r="G20" s="11">
        <f>D20*$C$10</f>
        <v/>
      </c>
      <c r="H20" s="11">
        <f>E20*$C$12</f>
        <v/>
      </c>
      <c r="I20" s="11">
        <f>$C$7</f>
        <v/>
      </c>
      <c r="J20" s="11">
        <f>$C$8</f>
        <v/>
      </c>
      <c r="K20" s="11">
        <f>$C$9</f>
        <v/>
      </c>
      <c r="L20" s="11">
        <f>SUM(F20:K20)</f>
        <v/>
      </c>
      <c r="M20" s="10" t="inlineStr">
        <is>
          <t>Core</t>
        </is>
      </c>
    </row>
    <row r="21">
      <c r="A21" s="16" t="inlineStr">
        <is>
          <t>Go-live and one month of support (weeks 24–28)</t>
        </is>
      </c>
      <c r="B21" s="16" t="inlineStr">
        <is>
          <t>Senior Developer</t>
        </is>
      </c>
      <c r="C21" s="16" t="inlineStr">
        <is>
          <t>India</t>
        </is>
      </c>
      <c r="D21" s="23" t="n">
        <v>33</v>
      </c>
      <c r="E21" s="23">
        <f>D21+1</f>
        <v/>
      </c>
      <c r="F21" s="17">
        <f>$C$6</f>
        <v/>
      </c>
      <c r="G21" s="17">
        <f>D21*$C$10</f>
        <v/>
      </c>
      <c r="H21" s="17">
        <f>E21*$C$12</f>
        <v/>
      </c>
      <c r="I21" s="17">
        <f>$C$7</f>
        <v/>
      </c>
      <c r="J21" s="17">
        <f>$C$8</f>
        <v/>
      </c>
      <c r="K21" s="17">
        <f>$C$9</f>
        <v/>
      </c>
      <c r="L21" s="17">
        <f>SUM(F21:K21)</f>
        <v/>
      </c>
      <c r="M21" s="16" t="inlineStr">
        <is>
          <t>Core</t>
        </is>
      </c>
    </row>
    <row r="22">
      <c r="A22" s="10" t="inlineStr">
        <is>
          <t>Go-live and one month of support (weeks 24–28)</t>
        </is>
      </c>
      <c r="B22" s="10" t="inlineStr">
        <is>
          <t>Project Manager</t>
        </is>
      </c>
      <c r="C22" s="10" t="inlineStr">
        <is>
          <t>Malaysia</t>
        </is>
      </c>
      <c r="D22" s="21" t="n">
        <v>6</v>
      </c>
      <c r="E22" s="21">
        <f>D22+1</f>
        <v/>
      </c>
      <c r="F22" s="11">
        <f>$B$6</f>
        <v/>
      </c>
      <c r="G22" s="11">
        <f>D22*$B$10</f>
        <v/>
      </c>
      <c r="H22" s="11">
        <f>E22*$B$12</f>
        <v/>
      </c>
      <c r="I22" s="11">
        <f>$B$7</f>
        <v/>
      </c>
      <c r="J22" s="11">
        <f>$B$8</f>
        <v/>
      </c>
      <c r="K22" s="11">
        <f>$B$9</f>
        <v/>
      </c>
      <c r="L22" s="11">
        <f>SUM(F22:K22)</f>
        <v/>
      </c>
      <c r="M22" s="10" t="inlineStr">
        <is>
          <t>Core</t>
        </is>
      </c>
    </row>
    <row r="23">
      <c r="A23" s="16" t="inlineStr">
        <is>
          <t>Knowledge transfer and source code handover (Option C)</t>
        </is>
      </c>
      <c r="B23" s="16" t="inlineStr">
        <is>
          <t>Solution Architect</t>
        </is>
      </c>
      <c r="C23" s="16" t="inlineStr">
        <is>
          <t>India</t>
        </is>
      </c>
      <c r="D23" s="23" t="n">
        <v>12</v>
      </c>
      <c r="E23" s="23">
        <f>D23+1</f>
        <v/>
      </c>
      <c r="F23" s="17">
        <f>$C$6</f>
        <v/>
      </c>
      <c r="G23" s="17">
        <f>D23*$C$10</f>
        <v/>
      </c>
      <c r="H23" s="17">
        <f>E23*$C$12</f>
        <v/>
      </c>
      <c r="I23" s="17">
        <f>$C$7</f>
        <v/>
      </c>
      <c r="J23" s="17">
        <f>$C$8</f>
        <v/>
      </c>
      <c r="K23" s="17">
        <f>$C$9</f>
        <v/>
      </c>
      <c r="L23" s="17">
        <f>SUM(F23:K23)</f>
        <v/>
      </c>
      <c r="M23" s="16" t="inlineStr">
        <is>
          <t>Optional (Option C)</t>
        </is>
      </c>
    </row>
    <row r="24">
      <c r="A24" s="10" t="inlineStr">
        <is>
          <t>Knowledge transfer and source code handover (Option C)</t>
        </is>
      </c>
      <c r="B24" s="10" t="inlineStr">
        <is>
          <t>Senior Developer</t>
        </is>
      </c>
      <c r="C24" s="10" t="inlineStr">
        <is>
          <t>India</t>
        </is>
      </c>
      <c r="D24" s="21" t="n">
        <v>12</v>
      </c>
      <c r="E24" s="21">
        <f>D24+1</f>
        <v/>
      </c>
      <c r="F24" s="11">
        <f>$C$6</f>
        <v/>
      </c>
      <c r="G24" s="11">
        <f>D24*$C$10</f>
        <v/>
      </c>
      <c r="H24" s="11">
        <f>E24*$C$12</f>
        <v/>
      </c>
      <c r="I24" s="11">
        <f>$C$7</f>
        <v/>
      </c>
      <c r="J24" s="11">
        <f>$C$8</f>
        <v/>
      </c>
      <c r="K24" s="11">
        <f>$C$9</f>
        <v/>
      </c>
      <c r="L24" s="11">
        <f>SUM(F24:K24)</f>
        <v/>
      </c>
      <c r="M24" s="10" t="inlineStr">
        <is>
          <t>Optional (Option C)</t>
        </is>
      </c>
    </row>
    <row r="25">
      <c r="A25" s="14" t="inlineStr">
        <is>
          <t>Core onsite phases</t>
        </is>
      </c>
      <c r="B25" s="14" t="inlineStr"/>
      <c r="C25" s="14" t="inlineStr"/>
      <c r="D25" s="22">
        <f>SUM(D16:D22)</f>
        <v/>
      </c>
      <c r="E25" s="14" t="inlineStr"/>
      <c r="F25" s="14" t="inlineStr"/>
      <c r="G25" s="14" t="inlineStr"/>
      <c r="H25" s="14" t="inlineStr"/>
      <c r="I25" s="14" t="inlineStr"/>
      <c r="J25" s="14" t="inlineStr"/>
      <c r="K25" s="14" t="inlineStr"/>
      <c r="L25" s="15">
        <f>SUM(L16:L22)</f>
        <v/>
      </c>
      <c r="M25" s="14" t="inlineStr"/>
    </row>
    <row r="26">
      <c r="A26" s="10" t="inlineStr">
        <is>
          <t>Option C knowledge transfer (optional)</t>
        </is>
      </c>
      <c r="B26" s="10" t="inlineStr"/>
      <c r="C26" s="10" t="inlineStr"/>
      <c r="D26" s="21">
        <f>SUM(D23:D24)</f>
        <v/>
      </c>
      <c r="E26" s="10" t="inlineStr"/>
      <c r="F26" s="10" t="inlineStr"/>
      <c r="G26" s="10" t="inlineStr"/>
      <c r="H26" s="10" t="inlineStr"/>
      <c r="I26" s="10" t="inlineStr"/>
      <c r="J26" s="10" t="inlineStr"/>
      <c r="K26" s="10" t="inlineStr"/>
      <c r="L26" s="11">
        <f>SUM(L23:L24)</f>
        <v/>
      </c>
      <c r="M26" s="10" t="inlineStr"/>
    </row>
    <row r="27">
      <c r="A27" s="14" t="inlineStr">
        <is>
          <t>Total including Option C</t>
        </is>
      </c>
      <c r="B27" s="14" t="inlineStr"/>
      <c r="C27" s="14" t="inlineStr"/>
      <c r="D27" s="14" t="inlineStr"/>
      <c r="E27" s="14" t="inlineStr"/>
      <c r="F27" s="14" t="inlineStr"/>
      <c r="G27" s="14" t="inlineStr"/>
      <c r="H27" s="14" t="inlineStr"/>
      <c r="I27" s="14" t="inlineStr"/>
      <c r="J27" s="14" t="inlineStr"/>
      <c r="K27" s="14" t="inlineStr"/>
      <c r="L27" s="15">
        <f>L25+L26</f>
        <v/>
      </c>
      <c r="M27" s="14" t="inlineStr"/>
    </row>
    <row r="28">
      <c r="A28" s="10" t="inlineStr">
        <is>
          <t>Ceiling without IIFT's prior approval: estimate + 10% (core phases)</t>
        </is>
      </c>
      <c r="B28" s="10" t="inlineStr"/>
      <c r="C28" s="10" t="inlineStr"/>
      <c r="D28" s="10" t="inlineStr"/>
      <c r="E28" s="10" t="inlineStr"/>
      <c r="F28" s="10" t="inlineStr"/>
      <c r="G28" s="10" t="inlineStr"/>
      <c r="H28" s="10" t="inlineStr"/>
      <c r="I28" s="10" t="inlineStr"/>
      <c r="J28" s="10" t="inlineStr"/>
      <c r="K28" s="10" t="inlineStr"/>
      <c r="L28" s="11">
        <f>ROUND(L25*1.1,0)</f>
        <v/>
      </c>
      <c r="M28" s="10" t="inlineStr"/>
    </row>
    <row r="30" ht="18" customHeight="1">
      <c r="A30" s="6" t="inlineStr">
        <is>
          <t>3. Rules</t>
        </is>
      </c>
    </row>
    <row r="31" ht="26" customHeight="1">
      <c r="A31" s="18" t="inlineStr">
        <is>
          <t>•  Recharged monthly in arrears at cost as disbursements, with travel invoices and receipts attached and no mark-up, outside the fees to which WHT applies; the per diem is fixed and needs no receipts.</t>
        </is>
      </c>
    </row>
    <row r="32" ht="13" customHeight="1">
      <c r="A32" s="18" t="inlineStr">
        <is>
          <t>•  Total OPE will not exceed the estimate by more than 10% without IIFT's prior written approval.</t>
        </is>
      </c>
    </row>
    <row r="33" ht="13" customHeight="1">
      <c r="A33" s="18" t="inlineStr">
        <is>
          <t>•  Economy-class flights; business hotels near IIFT's office. Accommodation or transport provided by IIFT reduces the OPE.</t>
        </is>
      </c>
    </row>
    <row r="34" ht="13" customHeight="1">
      <c r="A34" s="18" t="inlineStr">
        <is>
          <t>•  Trips agreed with IIFT's project manager two weeks ahead; all other work is remote from Malaysia and India.</t>
        </is>
      </c>
    </row>
    <row r="35" ht="13" customHeight="1">
      <c r="A35" s="18" t="inlineStr">
        <is>
          <t>•  Extra onsite days requested by IIFT outside these phases: rate card (B$ 850 a day in Year 1) plus OPE.</t>
        </is>
      </c>
    </row>
  </sheetData>
  <mergeCells count="13">
    <mergeCell ref="D11:I11"/>
    <mergeCell ref="D10:I10"/>
    <mergeCell ref="A33:L33"/>
    <mergeCell ref="D5:I5"/>
    <mergeCell ref="A32:L32"/>
    <mergeCell ref="D9:I9"/>
    <mergeCell ref="A31:L31"/>
    <mergeCell ref="A34:L34"/>
    <mergeCell ref="A35:L35"/>
    <mergeCell ref="D12:I12"/>
    <mergeCell ref="D6:I6"/>
    <mergeCell ref="D7:I7"/>
    <mergeCell ref="D8:I8"/>
  </mergeCells>
  <printOptions horizontalCentered="1"/>
  <pageMargins left="0.4" right="0.4" top="0.6" bottom="0.6" header="0.5" footer="0.5"/>
  <pageSetup orientation="landscape" paperSize="9" fitToHeight="0" fitToWidth="1"/>
  <headerFooter>
    <oddHeader>&amp;R&amp;8 iorta TechNXT | IIFT Agent/Banca Portal &amp; Back-office</oddHeader>
    <oddFooter>&amp;L&amp;8 Commercial-in-Confidence&amp;R&amp;8 &amp;A | Page &amp;P of &amp;N</oddFooter>
    <evenHeader/>
    <evenFooter/>
    <firstHeader/>
    <firstFooter/>
  </headerFooter>
</worksheet>
</file>

<file path=xl/worksheets/sheet8.xml><?xml version="1.0" encoding="utf-8"?>
<worksheet xmlns="http://schemas.openxmlformats.org/spreadsheetml/2006/main">
  <sheetPr>
    <tabColor rgb="00F58220"/>
    <outlinePr summaryBelow="1" summaryRight="1"/>
    <pageSetUpPr fitToPage="1"/>
  </sheetPr>
  <dimension ref="A1:H12"/>
  <sheetViews>
    <sheetView showGridLines="0" zoomScale="90" workbookViewId="0">
      <pane xSplit="2" ySplit="3" topLeftCell="C4" activePane="bottomRight" state="frozen"/>
      <selection pane="topRight"/>
      <selection pane="bottomLeft"/>
      <selection pane="bottomRight" activeCell="A1" sqref="A1"/>
    </sheetView>
  </sheetViews>
  <sheetFormatPr baseColWidth="8" defaultRowHeight="15"/>
  <cols>
    <col width="46" customWidth="1" min="1" max="1"/>
    <col width="14" customWidth="1" min="2" max="2"/>
    <col width="12" customWidth="1" min="3" max="3"/>
    <col width="12" customWidth="1" min="4" max="4"/>
    <col width="12" customWidth="1" min="5" max="5"/>
    <col width="12" customWidth="1" min="6" max="6"/>
    <col width="12" customWidth="1" min="7" max="7"/>
    <col width="64" customWidth="1" min="8" max="8"/>
  </cols>
  <sheetData>
    <row r="1" ht="22" customHeight="1">
      <c r="A1" s="1" t="inlineStr">
        <is>
          <t>Rate card (RFP section 10 items 17–19 and 21; COM-16), +5% a year</t>
        </is>
      </c>
    </row>
    <row r="2">
      <c r="A2" s="2" t="inlineStr">
        <is>
          <t>iorta TechNXT – proposal to Insurans Islam Family Takaful Sendirian Berhad – October 2026</t>
        </is>
      </c>
    </row>
    <row r="4" ht="30" customHeight="1">
      <c r="A4" s="7" t="inlineStr">
        <is>
          <t>Service</t>
        </is>
      </c>
      <c r="B4" s="7" t="inlineStr">
        <is>
          <t>Unit</t>
        </is>
      </c>
      <c r="C4" s="7" t="inlineStr">
        <is>
          <t>Year 1 (B$)</t>
        </is>
      </c>
      <c r="D4" s="7" t="inlineStr">
        <is>
          <t>Year 2 (B$)</t>
        </is>
      </c>
      <c r="E4" s="7" t="inlineStr">
        <is>
          <t>Year 3 (B$)</t>
        </is>
      </c>
      <c r="F4" s="7" t="inlineStr">
        <is>
          <t>Year 4 (B$)</t>
        </is>
      </c>
      <c r="G4" s="7" t="inlineStr">
        <is>
          <t>Year 5 (B$)</t>
        </is>
      </c>
      <c r="H4" s="7" t="inlineStr">
        <is>
          <t>Notes</t>
        </is>
      </c>
    </row>
    <row r="5">
      <c r="A5" s="10" t="inlineStr">
        <is>
          <t>Enhancements and change requests</t>
        </is>
      </c>
      <c r="B5" s="10" t="inlineStr">
        <is>
          <t>Per man-day</t>
        </is>
      </c>
      <c r="C5" s="11" t="n">
        <v>680</v>
      </c>
      <c r="D5" s="11" t="n">
        <v>714</v>
      </c>
      <c r="E5" s="11" t="n">
        <v>750</v>
      </c>
      <c r="F5" s="11" t="n">
        <v>787</v>
      </c>
      <c r="G5" s="11" t="n">
        <v>827</v>
      </c>
      <c r="H5" s="10" t="inlineStr">
        <is>
          <t>Blended rate, all roles; 60 hours a year included in AMC / subscription</t>
        </is>
      </c>
    </row>
    <row r="6">
      <c r="A6" s="16" t="inlineStr">
        <is>
          <t>Enhancements and change requests</t>
        </is>
      </c>
      <c r="B6" s="16" t="inlineStr">
        <is>
          <t>Per hour</t>
        </is>
      </c>
      <c r="C6" s="17" t="n">
        <v>90</v>
      </c>
      <c r="D6" s="17" t="n">
        <v>95</v>
      </c>
      <c r="E6" s="17" t="n">
        <v>99</v>
      </c>
      <c r="F6" s="17" t="n">
        <v>104</v>
      </c>
      <c r="G6" s="17" t="n">
        <v>109</v>
      </c>
      <c r="H6" s="16" t="inlineStr">
        <is>
          <t>Blended rate, all roles</t>
        </is>
      </c>
    </row>
    <row r="7">
      <c r="A7" s="10" t="inlineStr">
        <is>
          <t>Onsite support, unplanned visit</t>
        </is>
      </c>
      <c r="B7" s="10" t="inlineStr">
        <is>
          <t>Per day</t>
        </is>
      </c>
      <c r="C7" s="11" t="n">
        <v>850</v>
      </c>
      <c r="D7" s="11" t="n">
        <v>893</v>
      </c>
      <c r="E7" s="11" t="n">
        <v>937</v>
      </c>
      <c r="F7" s="11" t="n">
        <v>984</v>
      </c>
      <c r="G7" s="11" t="n">
        <v>1033</v>
      </c>
      <c r="H7" s="10" t="inlineStr">
        <is>
          <t>Plus OPE at actuals</t>
        </is>
      </c>
    </row>
    <row r="8">
      <c r="A8" s="16" t="inlineStr">
        <is>
          <t>After-hours support other than P1</t>
        </is>
      </c>
      <c r="B8" s="16" t="inlineStr">
        <is>
          <t>Per hour</t>
        </is>
      </c>
      <c r="C8" s="17" t="n">
        <v>120</v>
      </c>
      <c r="D8" s="17" t="n">
        <v>126</v>
      </c>
      <c r="E8" s="17" t="n">
        <v>132</v>
      </c>
      <c r="F8" s="17" t="n">
        <v>139</v>
      </c>
      <c r="G8" s="17" t="n">
        <v>146</v>
      </c>
      <c r="H8" s="16" t="inlineStr">
        <is>
          <t>Only at IIFT's request</t>
        </is>
      </c>
    </row>
    <row r="9">
      <c r="A9" s="10" t="inlineStr">
        <is>
          <t>After-hours support for P1 (Critical) incidents</t>
        </is>
      </c>
      <c r="B9" s="10" t="inlineStr">
        <is>
          <t>Per incident</t>
        </is>
      </c>
      <c r="C9" s="21" t="inlineStr">
        <is>
          <t>Included</t>
        </is>
      </c>
      <c r="D9" s="21" t="inlineStr">
        <is>
          <t>Included</t>
        </is>
      </c>
      <c r="E9" s="21" t="inlineStr">
        <is>
          <t>Included</t>
        </is>
      </c>
      <c r="F9" s="21" t="inlineStr">
        <is>
          <t>Included</t>
        </is>
      </c>
      <c r="G9" s="21" t="inlineStr">
        <is>
          <t>Included</t>
        </is>
      </c>
      <c r="H9" s="10" t="inlineStr">
        <is>
          <t>24x7</t>
        </is>
      </c>
    </row>
    <row r="10">
      <c r="A10" s="16" t="inlineStr">
        <is>
          <t>Exit and transition at contract end</t>
        </is>
      </c>
      <c r="B10" s="16" t="inlineStr">
        <is>
          <t>Fixed</t>
        </is>
      </c>
      <c r="C10" s="23" t="inlineStr">
        <is>
          <t>Included</t>
        </is>
      </c>
      <c r="D10" s="23" t="inlineStr">
        <is>
          <t>Included</t>
        </is>
      </c>
      <c r="E10" s="23" t="inlineStr">
        <is>
          <t>Included</t>
        </is>
      </c>
      <c r="F10" s="23" t="inlineStr">
        <is>
          <t>Included</t>
        </is>
      </c>
      <c r="G10" s="23" t="inlineStr">
        <is>
          <t>Included</t>
        </is>
      </c>
      <c r="H10" s="16" t="inlineStr">
        <is>
          <t>Included in Year 5 AMC or at the end of the subscription</t>
        </is>
      </c>
    </row>
    <row r="12" ht="13" customHeight="1">
      <c r="A12" s="19" t="inlineStr">
        <is>
          <t>Change requests: written request, impact assessment within five business days, quotation at these rates, written approval before work starts. Quotations remain valid for 90 days.</t>
        </is>
      </c>
    </row>
  </sheetData>
  <mergeCells count="1">
    <mergeCell ref="A12:H12"/>
  </mergeCells>
  <printOptions horizontalCentered="1"/>
  <pageMargins left="0.4" right="0.4" top="0.6" bottom="0.6" header="0.5" footer="0.5"/>
  <pageSetup orientation="landscape" paperSize="9" fitToHeight="0" fitToWidth="1"/>
  <headerFooter>
    <oddHeader>&amp;R&amp;8 iorta TechNXT | IIFT Agent/Banca Portal &amp; Back-office</oddHeader>
    <oddFooter>&amp;L&amp;8 Commercial-in-Confidence&amp;R&amp;8 &amp;A | Page &amp;P of &amp;N</oddFooter>
    <evenHeader/>
    <evenFooter/>
    <firstHeader/>
    <firstFooter/>
  </headerFooter>
</worksheet>
</file>

<file path=xl/worksheets/sheet9.xml><?xml version="1.0" encoding="utf-8"?>
<worksheet xmlns="http://schemas.openxmlformats.org/spreadsheetml/2006/main">
  <sheetPr>
    <tabColor rgb="00F58220"/>
    <outlinePr summaryBelow="1" summaryRight="1"/>
    <pageSetUpPr fitToPage="1"/>
  </sheetPr>
  <dimension ref="A1:G47"/>
  <sheetViews>
    <sheetView showGridLines="0" zoomScale="90" workbookViewId="0">
      <pane xSplit="2" ySplit="3" topLeftCell="C4" activePane="bottomRight" state="frozen"/>
      <selection pane="topRight"/>
      <selection pane="bottomLeft"/>
      <selection pane="bottomRight" activeCell="A1" sqref="A1"/>
    </sheetView>
  </sheetViews>
  <sheetFormatPr baseColWidth="8" defaultRowHeight="15"/>
  <cols>
    <col width="12" customWidth="1" min="1" max="1"/>
    <col width="62" customWidth="1" min="2" max="2"/>
    <col width="22" customWidth="1" min="3" max="3"/>
    <col width="14" customWidth="1" min="4" max="4"/>
    <col width="16" customWidth="1" min="5" max="5"/>
    <col width="16" customWidth="1" min="6" max="6"/>
    <col width="44" customWidth="1" min="7" max="7"/>
  </cols>
  <sheetData>
    <row r="1" ht="22" customHeight="1">
      <c r="A1" s="1" t="inlineStr">
        <is>
          <t>Payment schedules (invoices payable within 30 days)</t>
        </is>
      </c>
    </row>
    <row r="2">
      <c r="A2" s="2" t="inlineStr">
        <is>
          <t>iorta TechNXT – proposal to Insurans Islam Family Takaful Sendirian Berhad – October 2026</t>
        </is>
      </c>
    </row>
    <row r="4" ht="18" customHeight="1">
      <c r="A4" s="6" t="inlineStr">
        <is>
          <t>1. Option A licence fee</t>
        </is>
      </c>
    </row>
    <row r="5" ht="30" customHeight="1">
      <c r="A5" s="7" t="inlineStr">
        <is>
          <t>Milestone</t>
        </is>
      </c>
      <c r="B5" s="7" t="inlineStr">
        <is>
          <t>Payment trigger</t>
        </is>
      </c>
      <c r="C5" s="7" t="inlineStr">
        <is>
          <t>Target</t>
        </is>
      </c>
      <c r="D5" s="7" t="inlineStr">
        <is>
          <t>Share</t>
        </is>
      </c>
      <c r="E5" s="7" t="inlineStr">
        <is>
          <t>Amount (B$)</t>
        </is>
      </c>
      <c r="F5" s="7" t="inlineStr">
        <is>
          <t>Amount (USD)</t>
        </is>
      </c>
      <c r="G5" s="7" t="inlineStr">
        <is>
          <t>Notes</t>
        </is>
      </c>
    </row>
    <row r="6">
      <c r="A6" s="21" t="inlineStr">
        <is>
          <t>L1</t>
        </is>
      </c>
      <c r="B6" s="10" t="inlineStr">
        <is>
          <t>Contract signing</t>
        </is>
      </c>
      <c r="C6" s="10" t="inlineStr">
        <is>
          <t>Signature</t>
        </is>
      </c>
      <c r="D6" s="25" t="n">
        <v>0.5</v>
      </c>
      <c r="E6" s="11">
        <f>ROUND(D6*'Option A'!$F$6,0)</f>
        <v/>
      </c>
      <c r="F6" s="11">
        <f>ROUND(E6/Summary!$C$11,0)</f>
        <v/>
      </c>
      <c r="G6" s="10" t="inlineStr"/>
    </row>
    <row r="7">
      <c r="A7" s="21" t="inlineStr">
        <is>
          <t>L2</t>
        </is>
      </c>
      <c r="B7" s="10" t="inlineStr">
        <is>
          <t>Installation in the SIT environment</t>
        </is>
      </c>
      <c r="C7" s="10" t="inlineStr">
        <is>
          <t>About week 8</t>
        </is>
      </c>
      <c r="D7" s="25" t="n">
        <v>0.3</v>
      </c>
      <c r="E7" s="11">
        <f>ROUND(D7*'Option A'!$F$6,0)</f>
        <v/>
      </c>
      <c r="F7" s="11">
        <f>ROUND(E7/Summary!$C$11,0)</f>
        <v/>
      </c>
      <c r="G7" s="10" t="inlineStr"/>
    </row>
    <row r="8">
      <c r="A8" s="21" t="inlineStr">
        <is>
          <t>L3</t>
        </is>
      </c>
      <c r="B8" s="10" t="inlineStr">
        <is>
          <t>Production go-live</t>
        </is>
      </c>
      <c r="C8" s="10" t="inlineStr">
        <is>
          <t>Week 24</t>
        </is>
      </c>
      <c r="D8" s="25" t="n">
        <v>0.2</v>
      </c>
      <c r="E8" s="11">
        <f>ROUND(D8*'Option A'!$F$6,0)</f>
        <v/>
      </c>
      <c r="F8" s="11">
        <f>ROUND(E8/Summary!$C$11,0)</f>
        <v/>
      </c>
      <c r="G8" s="10" t="inlineStr"/>
    </row>
    <row r="9">
      <c r="A9" s="14" t="inlineStr"/>
      <c r="B9" s="14" t="inlineStr">
        <is>
          <t>Total licence fee</t>
        </is>
      </c>
      <c r="C9" s="14" t="inlineStr"/>
      <c r="D9" s="29">
        <f>SUM(D6:D8)</f>
        <v/>
      </c>
      <c r="E9" s="15">
        <f>SUM(E6:E8)</f>
        <v/>
      </c>
      <c r="F9" s="15">
        <f>ROUND(E9/Summary!$C$11,0)</f>
        <v/>
      </c>
      <c r="G9" s="14" t="inlineStr"/>
    </row>
    <row r="11" ht="18" customHeight="1">
      <c r="A11" s="6" t="inlineStr">
        <is>
          <t>2. Services fee (Options A and B)</t>
        </is>
      </c>
    </row>
    <row r="12" ht="30" customHeight="1">
      <c r="A12" s="7" t="inlineStr">
        <is>
          <t>Milestone</t>
        </is>
      </c>
      <c r="B12" s="7" t="inlineStr">
        <is>
          <t>Payment trigger</t>
        </is>
      </c>
      <c r="C12" s="7" t="inlineStr">
        <is>
          <t>Target</t>
        </is>
      </c>
      <c r="D12" s="7" t="inlineStr">
        <is>
          <t>Share</t>
        </is>
      </c>
      <c r="E12" s="7" t="inlineStr">
        <is>
          <t>Amount (B$)</t>
        </is>
      </c>
      <c r="F12" s="7" t="inlineStr">
        <is>
          <t>Amount (USD)</t>
        </is>
      </c>
      <c r="G12" s="7" t="inlineStr">
        <is>
          <t>Notes</t>
        </is>
      </c>
    </row>
    <row r="13">
      <c r="A13" s="21" t="inlineStr">
        <is>
          <t>M1</t>
        </is>
      </c>
      <c r="B13" s="10" t="inlineStr">
        <is>
          <t>Contract signing and project kick-off</t>
        </is>
      </c>
      <c r="C13" s="21" t="inlineStr">
        <is>
          <t>Week 2</t>
        </is>
      </c>
      <c r="D13" s="25" t="n">
        <v>0.15</v>
      </c>
      <c r="E13" s="11">
        <f>ROUND(D13*'Option B'!$F$13,0)</f>
        <v/>
      </c>
      <c r="F13" s="11">
        <f>ROUND(E13/Summary!$C$11,0)</f>
        <v/>
      </c>
      <c r="G13" s="10" t="inlineStr"/>
    </row>
    <row r="14">
      <c r="A14" s="21" t="inlineStr">
        <is>
          <t>M2</t>
        </is>
      </c>
      <c r="B14" s="10" t="inlineStr">
        <is>
          <t>Design sign-off (BRS, FRS, SAD, TDD, UI/UX, interface specification)</t>
        </is>
      </c>
      <c r="C14" s="21" t="inlineStr">
        <is>
          <t>Week 6</t>
        </is>
      </c>
      <c r="D14" s="25" t="n">
        <v>0.15</v>
      </c>
      <c r="E14" s="11">
        <f>ROUND(D14*'Option B'!$F$13,0)</f>
        <v/>
      </c>
      <c r="F14" s="11">
        <f>ROUND(E14/Summary!$C$11,0)</f>
        <v/>
      </c>
      <c r="G14" s="10" t="inlineStr"/>
    </row>
    <row r="15">
      <c r="A15" s="21" t="inlineStr">
        <is>
          <t>M4</t>
        </is>
      </c>
      <c r="B15" s="10" t="inlineStr">
        <is>
          <t>SIT exit and security clearance (VAPT remediated)</t>
        </is>
      </c>
      <c r="C15" s="21" t="inlineStr">
        <is>
          <t>Week 19</t>
        </is>
      </c>
      <c r="D15" s="25" t="n">
        <v>0.25</v>
      </c>
      <c r="E15" s="11">
        <f>ROUND(D15*'Option B'!$F$13,0)</f>
        <v/>
      </c>
      <c r="F15" s="11">
        <f>ROUND(E15/Summary!$C$11,0)</f>
        <v/>
      </c>
      <c r="G15" s="10" t="inlineStr"/>
    </row>
    <row r="16">
      <c r="A16" s="21" t="inlineStr">
        <is>
          <t>M5</t>
        </is>
      </c>
      <c r="B16" s="10" t="inlineStr">
        <is>
          <t>UAT sign-off</t>
        </is>
      </c>
      <c r="C16" s="21" t="inlineStr">
        <is>
          <t>Week 22</t>
        </is>
      </c>
      <c r="D16" s="25" t="n">
        <v>0.25</v>
      </c>
      <c r="E16" s="11">
        <f>ROUND(D16*'Option B'!$F$13,0)</f>
        <v/>
      </c>
      <c r="F16" s="11">
        <f>ROUND(E16/Summary!$C$11,0)</f>
        <v/>
      </c>
      <c r="G16" s="10" t="inlineStr"/>
    </row>
    <row r="17">
      <c r="A17" s="21" t="inlineStr">
        <is>
          <t>M6</t>
        </is>
      </c>
      <c r="B17" s="10" t="inlineStr">
        <is>
          <t>Production go-live</t>
        </is>
      </c>
      <c r="C17" s="21" t="inlineStr">
        <is>
          <t>Week 24</t>
        </is>
      </c>
      <c r="D17" s="25" t="n">
        <v>0.15</v>
      </c>
      <c r="E17" s="11">
        <f>ROUND(D17*'Option B'!$F$13,0)</f>
        <v/>
      </c>
      <c r="F17" s="11">
        <f>ROUND(E17/Summary!$C$11,0)</f>
        <v/>
      </c>
      <c r="G17" s="10" t="inlineStr"/>
    </row>
    <row r="18">
      <c r="A18" s="21" t="inlineStr">
        <is>
          <t>M7</t>
        </is>
      </c>
      <c r="B18" s="10" t="inlineStr">
        <is>
          <t>Hypercare exit and project closure</t>
        </is>
      </c>
      <c r="C18" s="21" t="inlineStr">
        <is>
          <t>Week 28</t>
        </is>
      </c>
      <c r="D18" s="25" t="n">
        <v>0.05</v>
      </c>
      <c r="E18" s="11">
        <f>ROUND(D18*'Option B'!$F$13,0)</f>
        <v/>
      </c>
      <c r="F18" s="11">
        <f>ROUND(E18/Summary!$C$11,0)</f>
        <v/>
      </c>
      <c r="G18" s="10" t="inlineStr"/>
    </row>
    <row r="19">
      <c r="A19" s="14" t="inlineStr"/>
      <c r="B19" s="14" t="inlineStr">
        <is>
          <t>Total services fee</t>
        </is>
      </c>
      <c r="C19" s="14" t="inlineStr"/>
      <c r="D19" s="29">
        <f>SUM(D13:D18)</f>
        <v/>
      </c>
      <c r="E19" s="15">
        <f>SUM(E13:E18)</f>
        <v/>
      </c>
      <c r="F19" s="15">
        <f>ROUND(E19/Summary!$C$11,0)</f>
        <v/>
      </c>
      <c r="G19" s="14" t="inlineStr">
        <is>
          <t>M3 (build complete, week 16) carries no payment</t>
        </is>
      </c>
    </row>
    <row r="21" ht="18" customHeight="1">
      <c r="A21" s="6" t="inlineStr">
        <is>
          <t>3. Recurring charges</t>
        </is>
      </c>
    </row>
    <row r="22" ht="30" customHeight="1">
      <c r="A22" s="7" t="inlineStr">
        <is>
          <t>Year</t>
        </is>
      </c>
      <c r="B22" s="7" t="inlineStr">
        <is>
          <t>Charge</t>
        </is>
      </c>
      <c r="C22" s="7" t="inlineStr">
        <is>
          <t>Option</t>
        </is>
      </c>
      <c r="D22" s="7" t="inlineStr">
        <is>
          <t>Per invoice (B$)</t>
        </is>
      </c>
      <c r="E22" s="7" t="inlineStr">
        <is>
          <t>Per year (B$)</t>
        </is>
      </c>
      <c r="F22" s="7" t="inlineStr">
        <is>
          <t>Billing</t>
        </is>
      </c>
      <c r="G22" s="9" t="n"/>
    </row>
    <row r="23">
      <c r="A23" s="10" t="inlineStr">
        <is>
          <t>Year 1</t>
        </is>
      </c>
      <c r="B23" s="10" t="inlineStr">
        <is>
          <t>Annual maintenance (AMC)</t>
        </is>
      </c>
      <c r="C23" s="21" t="inlineStr">
        <is>
          <t>A</t>
        </is>
      </c>
      <c r="D23" s="26">
        <f>'Option A'!$F$33/4</f>
        <v/>
      </c>
      <c r="E23" s="11">
        <f>'Option A'!$F$33</f>
        <v/>
      </c>
      <c r="F23" s="10" t="inlineStr">
        <is>
          <t>Quarterly in advance from go-live</t>
        </is>
      </c>
      <c r="G23" s="9" t="n"/>
    </row>
    <row r="24">
      <c r="A24" s="10" t="inlineStr">
        <is>
          <t>Year 2</t>
        </is>
      </c>
      <c r="B24" s="10" t="inlineStr">
        <is>
          <t>Annual maintenance (AMC)</t>
        </is>
      </c>
      <c r="C24" s="21" t="inlineStr">
        <is>
          <t>A</t>
        </is>
      </c>
      <c r="D24" s="26">
        <f>'Option A'!$F$34/4</f>
        <v/>
      </c>
      <c r="E24" s="11">
        <f>'Option A'!$F$34</f>
        <v/>
      </c>
      <c r="F24" s="10" t="inlineStr">
        <is>
          <t>Quarterly in advance from go-live</t>
        </is>
      </c>
      <c r="G24" s="9" t="n"/>
    </row>
    <row r="25">
      <c r="A25" s="10" t="inlineStr">
        <is>
          <t>Year 3</t>
        </is>
      </c>
      <c r="B25" s="10" t="inlineStr">
        <is>
          <t>Annual maintenance (AMC)</t>
        </is>
      </c>
      <c r="C25" s="21" t="inlineStr">
        <is>
          <t>A</t>
        </is>
      </c>
      <c r="D25" s="26">
        <f>'Option A'!$F$35/4</f>
        <v/>
      </c>
      <c r="E25" s="11">
        <f>'Option A'!$F$35</f>
        <v/>
      </c>
      <c r="F25" s="10" t="inlineStr">
        <is>
          <t>Quarterly in advance from go-live</t>
        </is>
      </c>
      <c r="G25" s="9" t="n"/>
    </row>
    <row r="26">
      <c r="A26" s="10" t="inlineStr">
        <is>
          <t>Year 4</t>
        </is>
      </c>
      <c r="B26" s="10" t="inlineStr">
        <is>
          <t>Annual maintenance (AMC)</t>
        </is>
      </c>
      <c r="C26" s="21" t="inlineStr">
        <is>
          <t>A</t>
        </is>
      </c>
      <c r="D26" s="26">
        <f>'Option A'!$F$36/4</f>
        <v/>
      </c>
      <c r="E26" s="11">
        <f>'Option A'!$F$36</f>
        <v/>
      </c>
      <c r="F26" s="10" t="inlineStr">
        <is>
          <t>Quarterly in advance from go-live</t>
        </is>
      </c>
      <c r="G26" s="9" t="n"/>
    </row>
    <row r="27">
      <c r="A27" s="10" t="inlineStr">
        <is>
          <t>Year 5</t>
        </is>
      </c>
      <c r="B27" s="10" t="inlineStr">
        <is>
          <t>Annual maintenance (AMC)</t>
        </is>
      </c>
      <c r="C27" s="21" t="inlineStr">
        <is>
          <t>A</t>
        </is>
      </c>
      <c r="D27" s="26">
        <f>'Option A'!$F$37/4</f>
        <v/>
      </c>
      <c r="E27" s="11">
        <f>'Option A'!$F$37</f>
        <v/>
      </c>
      <c r="F27" s="10" t="inlineStr">
        <is>
          <t>Quarterly in advance from go-live</t>
        </is>
      </c>
      <c r="G27" s="9" t="n"/>
    </row>
    <row r="28">
      <c r="A28" s="16" t="inlineStr">
        <is>
          <t>Year 1</t>
        </is>
      </c>
      <c r="B28" s="16" t="inlineStr">
        <is>
          <t>Subscription</t>
        </is>
      </c>
      <c r="C28" s="23" t="inlineStr">
        <is>
          <t>B</t>
        </is>
      </c>
      <c r="D28" s="17">
        <f>'Option B'!$F$19</f>
        <v/>
      </c>
      <c r="E28" s="17">
        <f>'Option B'!$G$19</f>
        <v/>
      </c>
      <c r="F28" s="16" t="inlineStr">
        <is>
          <t>Monthly in advance from go-live</t>
        </is>
      </c>
      <c r="G28" s="9" t="n"/>
    </row>
    <row r="29">
      <c r="A29" s="16" t="inlineStr">
        <is>
          <t>Year 2</t>
        </is>
      </c>
      <c r="B29" s="16" t="inlineStr">
        <is>
          <t>Subscription</t>
        </is>
      </c>
      <c r="C29" s="23" t="inlineStr">
        <is>
          <t>B</t>
        </is>
      </c>
      <c r="D29" s="17">
        <f>'Option B'!$F$20</f>
        <v/>
      </c>
      <c r="E29" s="17">
        <f>'Option B'!$G$20</f>
        <v/>
      </c>
      <c r="F29" s="16" t="inlineStr">
        <is>
          <t>Monthly in advance from go-live</t>
        </is>
      </c>
      <c r="G29" s="9" t="n"/>
    </row>
    <row r="30">
      <c r="A30" s="16" t="inlineStr">
        <is>
          <t>Year 3</t>
        </is>
      </c>
      <c r="B30" s="16" t="inlineStr">
        <is>
          <t>Subscription</t>
        </is>
      </c>
      <c r="C30" s="23" t="inlineStr">
        <is>
          <t>B</t>
        </is>
      </c>
      <c r="D30" s="17">
        <f>'Option B'!$F$21</f>
        <v/>
      </c>
      <c r="E30" s="17">
        <f>'Option B'!$G$21</f>
        <v/>
      </c>
      <c r="F30" s="16" t="inlineStr">
        <is>
          <t>Monthly in advance from go-live</t>
        </is>
      </c>
      <c r="G30" s="9" t="n"/>
    </row>
    <row r="31">
      <c r="A31" s="16" t="inlineStr">
        <is>
          <t>Year 4</t>
        </is>
      </c>
      <c r="B31" s="16" t="inlineStr">
        <is>
          <t>Subscription</t>
        </is>
      </c>
      <c r="C31" s="23" t="inlineStr">
        <is>
          <t>B</t>
        </is>
      </c>
      <c r="D31" s="17">
        <f>'Option B'!$F$22</f>
        <v/>
      </c>
      <c r="E31" s="17">
        <f>'Option B'!$G$22</f>
        <v/>
      </c>
      <c r="F31" s="16" t="inlineStr">
        <is>
          <t>Monthly in advance from go-live</t>
        </is>
      </c>
      <c r="G31" s="9" t="n"/>
    </row>
    <row r="32">
      <c r="A32" s="16" t="inlineStr">
        <is>
          <t>Year 5</t>
        </is>
      </c>
      <c r="B32" s="16" t="inlineStr">
        <is>
          <t>Subscription</t>
        </is>
      </c>
      <c r="C32" s="23" t="inlineStr">
        <is>
          <t>B</t>
        </is>
      </c>
      <c r="D32" s="17">
        <f>'Option B'!$F$23</f>
        <v/>
      </c>
      <c r="E32" s="17">
        <f>'Option B'!$G$23</f>
        <v/>
      </c>
      <c r="F32" s="16" t="inlineStr">
        <is>
          <t>Monthly in advance from go-live</t>
        </is>
      </c>
      <c r="G32" s="9" t="n"/>
    </row>
    <row r="33">
      <c r="A33" s="10" t="inlineStr">
        <is>
          <t>Year 1</t>
        </is>
      </c>
      <c r="B33" s="10" t="inlineStr">
        <is>
          <t>Managed services</t>
        </is>
      </c>
      <c r="C33" s="21" t="inlineStr">
        <is>
          <t>B</t>
        </is>
      </c>
      <c r="D33" s="11">
        <f>'Option B'!$D$29</f>
        <v/>
      </c>
      <c r="E33" s="11">
        <f>'Option B'!$E$29</f>
        <v/>
      </c>
      <c r="F33" s="10" t="inlineStr">
        <is>
          <t>Monthly in advance from go-live</t>
        </is>
      </c>
      <c r="G33" s="9" t="n"/>
    </row>
    <row r="34">
      <c r="A34" s="10" t="inlineStr">
        <is>
          <t>Year 2</t>
        </is>
      </c>
      <c r="B34" s="10" t="inlineStr">
        <is>
          <t>Managed services</t>
        </is>
      </c>
      <c r="C34" s="21" t="inlineStr">
        <is>
          <t>B</t>
        </is>
      </c>
      <c r="D34" s="11">
        <f>'Option B'!$D$30</f>
        <v/>
      </c>
      <c r="E34" s="11">
        <f>'Option B'!$E$30</f>
        <v/>
      </c>
      <c r="F34" s="10" t="inlineStr">
        <is>
          <t>Monthly in advance from go-live</t>
        </is>
      </c>
      <c r="G34" s="9" t="n"/>
    </row>
    <row r="35">
      <c r="A35" s="10" t="inlineStr">
        <is>
          <t>Year 3</t>
        </is>
      </c>
      <c r="B35" s="10" t="inlineStr">
        <is>
          <t>Managed services</t>
        </is>
      </c>
      <c r="C35" s="21" t="inlineStr">
        <is>
          <t>B</t>
        </is>
      </c>
      <c r="D35" s="11">
        <f>'Option B'!$D$31</f>
        <v/>
      </c>
      <c r="E35" s="11">
        <f>'Option B'!$E$31</f>
        <v/>
      </c>
      <c r="F35" s="10" t="inlineStr">
        <is>
          <t>Monthly in advance from go-live</t>
        </is>
      </c>
      <c r="G35" s="9" t="n"/>
    </row>
    <row r="36">
      <c r="A36" s="10" t="inlineStr">
        <is>
          <t>Year 4</t>
        </is>
      </c>
      <c r="B36" s="10" t="inlineStr">
        <is>
          <t>Managed services</t>
        </is>
      </c>
      <c r="C36" s="21" t="inlineStr">
        <is>
          <t>B</t>
        </is>
      </c>
      <c r="D36" s="11">
        <f>'Option B'!$D$32</f>
        <v/>
      </c>
      <c r="E36" s="11">
        <f>'Option B'!$E$32</f>
        <v/>
      </c>
      <c r="F36" s="10" t="inlineStr">
        <is>
          <t>Monthly in advance from go-live</t>
        </is>
      </c>
      <c r="G36" s="9" t="n"/>
    </row>
    <row r="37">
      <c r="A37" s="10" t="inlineStr">
        <is>
          <t>Year 5</t>
        </is>
      </c>
      <c r="B37" s="10" t="inlineStr">
        <is>
          <t>Managed services</t>
        </is>
      </c>
      <c r="C37" s="21" t="inlineStr">
        <is>
          <t>B</t>
        </is>
      </c>
      <c r="D37" s="11">
        <f>'Option B'!$D$33</f>
        <v/>
      </c>
      <c r="E37" s="11">
        <f>'Option B'!$E$33</f>
        <v/>
      </c>
      <c r="F37" s="10" t="inlineStr">
        <is>
          <t>Monthly in advance from go-live</t>
        </is>
      </c>
      <c r="G37" s="9" t="n"/>
    </row>
    <row r="38">
      <c r="A38" s="10" t="inlineStr">
        <is>
          <t>At signing</t>
        </is>
      </c>
      <c r="B38" s="10" t="inlineStr">
        <is>
          <t>Cloud set-up fee</t>
        </is>
      </c>
      <c r="C38" s="21" t="inlineStr">
        <is>
          <t>B</t>
        </is>
      </c>
      <c r="D38" s="11">
        <f>'Option B'!$F$14</f>
        <v/>
      </c>
      <c r="E38" s="11" t="n"/>
      <c r="F38" s="10" t="inlineStr">
        <is>
          <t>Once, at contract signing</t>
        </is>
      </c>
      <c r="G38" s="9" t="n"/>
    </row>
    <row r="39">
      <c r="A39" s="16" t="inlineStr">
        <is>
          <t>Each month</t>
        </is>
      </c>
      <c r="B39" s="16" t="inlineStr">
        <is>
          <t>Cloud infrastructure (estimate)</t>
        </is>
      </c>
      <c r="C39" s="23" t="inlineStr">
        <is>
          <t>B</t>
        </is>
      </c>
      <c r="D39" s="17">
        <f>'Option B'!$D$47</f>
        <v/>
      </c>
      <c r="E39" s="17">
        <f>'Option B'!$E$47</f>
        <v/>
      </c>
      <c r="F39" s="16" t="inlineStr">
        <is>
          <t>Monthly in arrears, disbursement at cost with provider invoices (or paid by IIFT directly)</t>
        </is>
      </c>
      <c r="G39" s="9" t="n"/>
    </row>
    <row r="40">
      <c r="A40" s="10" t="inlineStr">
        <is>
          <t>As incurred</t>
        </is>
      </c>
      <c r="B40" s="10" t="inlineStr">
        <is>
          <t>OPE</t>
        </is>
      </c>
      <c r="C40" s="21" t="inlineStr">
        <is>
          <t>A and B</t>
        </is>
      </c>
      <c r="D40" s="10" t="n"/>
      <c r="E40" s="10" t="n"/>
      <c r="F40" s="10" t="inlineStr">
        <is>
          <t>Monthly in arrears, disbursement at cost with travel invoices</t>
        </is>
      </c>
      <c r="G40" s="9" t="n"/>
    </row>
    <row r="42" ht="18" customHeight="1">
      <c r="A42" s="6" t="inlineStr">
        <is>
          <t>4. Option C</t>
        </is>
      </c>
    </row>
    <row r="43" ht="30" customHeight="1">
      <c r="A43" s="7" t="inlineStr">
        <is>
          <t>Milestone</t>
        </is>
      </c>
      <c r="B43" s="7" t="inlineStr">
        <is>
          <t>Payment trigger</t>
        </is>
      </c>
      <c r="C43" s="7" t="inlineStr">
        <is>
          <t>Component</t>
        </is>
      </c>
      <c r="D43" s="7" t="inlineStr">
        <is>
          <t>Share</t>
        </is>
      </c>
      <c r="E43" s="7" t="inlineStr">
        <is>
          <t>Amount (B$)</t>
        </is>
      </c>
      <c r="F43" s="7" t="inlineStr">
        <is>
          <t>Amount (USD)</t>
        </is>
      </c>
      <c r="G43" s="7" t="inlineStr">
        <is>
          <t>Notes</t>
        </is>
      </c>
    </row>
    <row r="44">
      <c r="A44" s="21" t="inlineStr">
        <is>
          <t>C1</t>
        </is>
      </c>
      <c r="B44" s="10" t="inlineStr">
        <is>
          <t>Delivery of the source code repository and a verified build by IIFT</t>
        </is>
      </c>
      <c r="C44" s="10" t="inlineStr">
        <is>
          <t>Source code licence</t>
        </is>
      </c>
      <c r="D44" s="25" t="n">
        <v>1</v>
      </c>
      <c r="E44" s="11">
        <f>ROUND(D44*60000,0)</f>
        <v/>
      </c>
      <c r="F44" s="11">
        <f>ROUND(E44/Summary!$C$11,0)</f>
        <v/>
      </c>
      <c r="G44" s="10" t="inlineStr"/>
    </row>
    <row r="45">
      <c r="A45" s="21" t="inlineStr">
        <is>
          <t>C2</t>
        </is>
      </c>
      <c r="B45" s="10" t="inlineStr">
        <is>
          <t>Start of knowledge transfer</t>
        </is>
      </c>
      <c r="C45" s="10" t="inlineStr">
        <is>
          <t>Knowledge transfer</t>
        </is>
      </c>
      <c r="D45" s="25" t="n">
        <v>0.5</v>
      </c>
      <c r="E45" s="11">
        <f>ROUND(D45*28000,0)</f>
        <v/>
      </c>
      <c r="F45" s="11">
        <f>ROUND(E45/Summary!$C$11,0)</f>
        <v/>
      </c>
      <c r="G45" s="10" t="inlineStr"/>
    </row>
    <row r="46">
      <c r="A46" s="21" t="inlineStr">
        <is>
          <t>C3</t>
        </is>
      </c>
      <c r="B46" s="10" t="inlineStr">
        <is>
          <t>Handover certificate signed</t>
        </is>
      </c>
      <c r="C46" s="10" t="inlineStr">
        <is>
          <t>Knowledge transfer</t>
        </is>
      </c>
      <c r="D46" s="25" t="n">
        <v>0.5</v>
      </c>
      <c r="E46" s="11">
        <f>ROUND(D46*28000,0)</f>
        <v/>
      </c>
      <c r="F46" s="11">
        <f>ROUND(E46/Summary!$C$11,0)</f>
        <v/>
      </c>
      <c r="G46" s="10" t="inlineStr"/>
    </row>
    <row r="47">
      <c r="A47" s="10" t="inlineStr">
        <is>
          <t>Quarterly</t>
        </is>
      </c>
      <c r="B47" s="10" t="inlineStr">
        <is>
          <t>Post-handover support, choice 2 (Year 1)</t>
        </is>
      </c>
      <c r="C47" s="10" t="inlineStr">
        <is>
          <t>Support</t>
        </is>
      </c>
      <c r="D47" s="10" t="n"/>
      <c r="E47" s="26">
        <f>'Option C'!$D$44/4</f>
        <v/>
      </c>
      <c r="F47" s="10" t="n"/>
      <c r="G47" s="10" t="inlineStr">
        <is>
          <t>Quarterly in advance, in place of the AMC</t>
        </is>
      </c>
    </row>
  </sheetData>
  <mergeCells count="19">
    <mergeCell ref="F29:G29"/>
    <mergeCell ref="F25:G25"/>
    <mergeCell ref="F34:G34"/>
    <mergeCell ref="F40:G40"/>
    <mergeCell ref="F24:G24"/>
    <mergeCell ref="F30:G30"/>
    <mergeCell ref="F33:G33"/>
    <mergeCell ref="F36:G36"/>
    <mergeCell ref="F32:G32"/>
    <mergeCell ref="F26:G26"/>
    <mergeCell ref="F35:G35"/>
    <mergeCell ref="F38:G38"/>
    <mergeCell ref="F23:G23"/>
    <mergeCell ref="F31:G31"/>
    <mergeCell ref="F22:G22"/>
    <mergeCell ref="F28:G28"/>
    <mergeCell ref="F27:G27"/>
    <mergeCell ref="F37:G37"/>
    <mergeCell ref="F39:G39"/>
  </mergeCells>
  <printOptions horizontalCentered="1"/>
  <pageMargins left="0.4" right="0.4" top="0.6" bottom="0.6" header="0.5" footer="0.5"/>
  <pageSetup orientation="landscape" paperSize="9" fitToHeight="0" fitToWidth="1"/>
  <headerFooter>
    <oddHeader>&amp;R&amp;8 iorta TechNXT | IIFT Agent/Banca Portal &amp; Back-office</oddHeader>
    <oddFooter>&amp;L&amp;8 Commercial-in-Confidence&amp;R&amp;8 &amp;A | Page &amp;P of &amp;N</oddFooter>
    <evenHeader/>
    <evenFooter/>
    <firstHeader/>
    <firstFooter/>
  </headerFooter>
</worksheet>
</file>

<file path=xl/worksheets/sheet10.xml><?xml version="1.0" encoding="utf-8"?>
<worksheet xmlns="http://schemas.openxmlformats.org/spreadsheetml/2006/main">
  <sheetPr>
    <tabColor rgb="00F58220"/>
    <outlinePr summaryBelow="1" summaryRight="1"/>
    <pageSetUpPr fitToPage="1"/>
  </sheetPr>
  <dimension ref="A1:B18"/>
  <sheetViews>
    <sheetView showGridLines="0" zoomScale="90" workbookViewId="0">
      <pane ySplit="3" topLeftCell="A4" activePane="bottomLeft" state="frozen"/>
      <selection pane="bottomLeft" activeCell="A1" sqref="A1"/>
    </sheetView>
  </sheetViews>
  <sheetFormatPr baseColWidth="8" defaultRowHeight="15"/>
  <cols>
    <col width="6" customWidth="1" min="1" max="1"/>
    <col width="150" customWidth="1" min="2" max="2"/>
  </cols>
  <sheetData>
    <row r="1" ht="22" customHeight="1">
      <c r="A1" s="1" t="inlineStr">
        <is>
          <t>Commercial assumptions and exclusions</t>
        </is>
      </c>
    </row>
    <row r="2">
      <c r="A2" s="2" t="inlineStr">
        <is>
          <t>iorta TechNXT – proposal to Insurans Islam Family Takaful Sendirian Berhad – October 2026</t>
        </is>
      </c>
    </row>
    <row r="4" ht="20" customHeight="1">
      <c r="A4" s="7" t="inlineStr">
        <is>
          <t>#</t>
        </is>
      </c>
      <c r="B4" s="7" t="inlineStr">
        <is>
          <t>Assumption</t>
        </is>
      </c>
    </row>
    <row r="5">
      <c r="A5" s="21" t="n">
        <v>1</v>
      </c>
      <c r="B5" s="10" t="inlineStr">
        <is>
          <t>Currency: Brunei Dollars. USD equivalents are indicative at USD 1 = B$ 1.30, rounded to the nearest dollar; the B$ amounts are binding.</t>
        </is>
      </c>
    </row>
    <row r="6">
      <c r="A6" s="23" t="n">
        <v>2</v>
      </c>
      <c r="B6" s="16" t="inlineStr">
        <is>
          <t>Scope is the RFP (sections 3–8, Appendices 1–4) as described in the proposal; changes follow the change request process at the rate card.</t>
        </is>
      </c>
    </row>
    <row r="7">
      <c r="A7" s="21" t="n">
        <v>3</v>
      </c>
      <c r="B7" s="10" t="inlineStr">
        <is>
          <t>Implementation fees are fixed prices; recurring fees follow the yearly schedule with increases capped at 5%.</t>
        </is>
      </c>
    </row>
    <row r="8">
      <c r="A8" s="23" t="n">
        <v>4</v>
      </c>
      <c r="B8" s="16" t="inlineStr">
        <is>
          <t>Sizing basis: 26 named users (Appendix 1) and about 628 policies a year (Appendix 2); designed for 100 concurrent and 500 named users. Unlimited named users for IIFT under both options.</t>
        </is>
      </c>
    </row>
    <row r="9">
      <c r="A9" s="21" t="n">
        <v>5</v>
      </c>
      <c r="B9" s="10" t="inlineStr">
        <is>
          <t>Option A: IIFT procures infrastructure to iorta's sizing (Bill of Materials) and provides SIT and UAT by weeks 8 and 16 and production and DR by week 20.</t>
        </is>
      </c>
    </row>
    <row r="10">
      <c r="A10" s="23" t="n">
        <v>6</v>
      </c>
      <c r="B10" s="16" t="inlineStr">
        <is>
          <t>Option B: hosting in AWS Asia Pacific (Malaysia) or Azure Malaysia West; IIFT approves the region and makes the AMBD outsourcing and cloud notification; one-off cloud set-up fee B$ 15,000 payable at contract signing.</t>
        </is>
      </c>
    </row>
    <row r="11">
      <c r="A11" s="21" t="n">
        <v>7</v>
      </c>
      <c r="B11" s="10" t="inlineStr">
        <is>
          <t>Cloud infrastructure and OPE are recharged at cost as disbursements with provider and travel invoices attached, outside the fees to which WHT applies; IIFT may instead hold the cloud account in its own name and pay the provider directly (iorta then operates it under the managed services).</t>
        </is>
      </c>
    </row>
    <row r="12">
      <c r="A12" s="23" t="n">
        <v>8</v>
      </c>
      <c r="B12" s="16" t="inlineStr">
        <is>
          <t>Option B minimum term 60 months from go-live.</t>
        </is>
      </c>
    </row>
    <row r="13">
      <c r="A13" s="21" t="n">
        <v>9</v>
      </c>
      <c r="B13" s="10" t="inlineStr">
        <is>
          <t>Option C: after go-live and hypercare; 8 weeks of knowledge transfer for up to six IIFT/IITH or nominated contractor staff; price held for exercise within 12 months of go-live.</t>
        </is>
      </c>
    </row>
    <row r="14">
      <c r="A14" s="23" t="n">
        <v>10</v>
      </c>
      <c r="B14" s="16" t="inlineStr">
        <is>
          <t>Data migration: agent, agency, bank, branch, participant and reference data, below 10,000 records from no more than three source extracts.</t>
        </is>
      </c>
    </row>
    <row r="15">
      <c r="A15" s="21" t="n">
        <v>11</v>
      </c>
      <c r="B15" s="10" t="inlineStr">
        <is>
          <t>OPE: onsite presence for requirements gathering, training and UAT support, go-live with one month of support and (Option C) knowledge transfer; all other work remote from Malaysia and India.</t>
        </is>
      </c>
    </row>
    <row r="16">
      <c r="A16" s="23" t="n">
        <v>12</v>
      </c>
      <c r="B16" s="16" t="inlineStr">
        <is>
          <t>Use by other IITH group companies (e.g. IIGT) is priced separately.</t>
        </is>
      </c>
    </row>
    <row r="17">
      <c r="A17" s="21" t="n">
        <v>13</v>
      </c>
      <c r="B17" s="10" t="inlineStr">
        <is>
          <t>Quotation validity: 90 days from submission. Invoices payable within 30 days.</t>
        </is>
      </c>
    </row>
    <row r="18">
      <c r="A18" s="23" t="n">
        <v>14</v>
      </c>
      <c r="B18" s="16" t="inlineStr">
        <is>
          <t>Exclusions: infrastructure (Option A), cloud charges (Option B, at cost), third-party charges, OPE, changes to IIFT's other systems, Malay translation, payment gateway, native mobile apps, post-go-live penetration tests beyond the pre-go-live VAPT and re-test.</t>
        </is>
      </c>
    </row>
  </sheetData>
  <printOptions horizontalCentered="1"/>
  <pageMargins left="0.4" right="0.4" top="0.6" bottom="0.6" header="0.5" footer="0.5"/>
  <pageSetup orientation="landscape" paperSize="9" fitToHeight="0" fitToWidth="1"/>
  <headerFooter>
    <oddHeader>&amp;R&amp;8 iorta TechNXT | IIFT Agent/Banca Portal &amp; Back-office</oddHeader>
    <oddFooter>&amp;L&amp;8 Commercial-in-Confidence&amp;R&amp;8 &amp;A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Proposal for Agent/Banca Portal &amp; Back-office Solution: Commercial Pricing</dc:title>
  <dc:subject xmlns:dc="http://purl.org/dc/elements/1.1/">Commercial proposal to Insurans Islam Family Takaful Sendirian Berhad</dc:subject>
  <dcterms:created xmlns:dcterms="http://purl.org/dc/terms/" xmlns:xsi="http://www.w3.org/2001/XMLSchema-instance" xsi:type="dcterms:W3CDTF">2026-10-02T21:27:04Z</dcterms:created>
  <dcterms:modified xmlns:dcterms="http://purl.org/dc/terms/" xmlns:xsi="http://www.w3.org/2001/XMLSchema-instance" xsi:type="dcterms:W3CDTF">2026-10-02T21:27:04Z</dcterms:modified>
  <cp:lastModifiedBy>iorta TechNXT</cp:lastModifiedBy>
</cp:coreProperties>
</file>