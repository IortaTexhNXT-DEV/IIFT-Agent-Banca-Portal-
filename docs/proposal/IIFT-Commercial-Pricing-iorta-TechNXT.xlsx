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(RFP format)" sheetId="1" state="visible" r:id="rId1"/>
    <sheet xmlns:r="http://schemas.openxmlformats.org/officeDocument/2006/relationships" name="One-time breakdown" sheetId="2" state="visible" r:id="rId2"/>
    <sheet xmlns:r="http://schemas.openxmlformats.org/officeDocument/2006/relationships" name="Integration per interface" sheetId="3" state="visible" r:id="rId3"/>
    <sheet xmlns:r="http://schemas.openxmlformats.org/officeDocument/2006/relationships" name="Maintenance 5 years" sheetId="4" state="visible" r:id="rId4"/>
    <sheet xmlns:r="http://schemas.openxmlformats.org/officeDocument/2006/relationships" name="Rate card" sheetId="5" state="visible" r:id="rId5"/>
    <sheet xmlns:r="http://schemas.openxmlformats.org/officeDocument/2006/relationships" name="Payment milestones" sheetId="6" state="visible" r:id="rId6"/>
    <sheet xmlns:r="http://schemas.openxmlformats.org/officeDocument/2006/relationships" name="3rd-party &amp; infra (indicative)" sheetId="7" state="visible" r:id="rId7"/>
    <sheet xmlns:r="http://schemas.openxmlformats.org/officeDocument/2006/relationships" name="Assump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0&quot;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E1058C"/>
      <sz val="14"/>
    </font>
    <font>
      <name val="Arial"/>
      <i val="1"/>
      <color rgb="006B6B6B"/>
      <sz val="9"/>
    </font>
    <font>
      <name val="Arial"/>
      <b val="1"/>
      <color rgb="00FFFFFF"/>
      <sz val="10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F58220"/>
      <sz val="11"/>
    </font>
  </fonts>
  <fills count="6">
    <fill>
      <patternFill/>
    </fill>
    <fill>
      <patternFill patternType="gray125"/>
    </fill>
    <fill>
      <patternFill patternType="solid">
        <fgColor rgb="00E1058C"/>
      </patternFill>
    </fill>
    <fill>
      <patternFill patternType="solid">
        <fgColor rgb="00FEEBDD"/>
      </patternFill>
    </fill>
    <fill>
      <patternFill patternType="solid">
        <fgColor rgb="00FDF0F7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2" fontId="0" fillId="5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 vertical="top"/>
    </xf>
    <xf numFmtId="0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horizontal="right" vertical="top"/>
    </xf>
    <xf numFmtId="0" fontId="2" fillId="0" borderId="0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 vertical="top"/>
    </xf>
    <xf numFmtId="165" fontId="0" fillId="5" borderId="0" pivotButton="0" quotePrefix="0" xfId="0"/>
    <xf numFmtId="9" fontId="4" fillId="0" borderId="1" applyAlignment="1" pivotButton="0" quotePrefix="0" xfId="0">
      <alignment vertical="top" wrapText="1"/>
    </xf>
    <xf numFmtId="9" fontId="4" fillId="4" borderId="1" applyAlignment="1" pivotButton="0" quotePrefix="0" xfId="0">
      <alignment vertical="top" wrapText="1"/>
    </xf>
    <xf numFmtId="9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1058C"/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4" customWidth="1" min="3" max="3"/>
    <col width="12" customWidth="1" min="4" max="4"/>
    <col width="12" customWidth="1" min="5" max="5"/>
    <col width="18" customWidth="1" min="6" max="6"/>
    <col width="14" customWidth="1" min="7" max="7"/>
  </cols>
  <sheetData>
    <row r="1">
      <c r="A1" s="1" t="inlineStr">
        <is>
          <t>Proposal for Agent/Banca Portal &amp; Back-office Solution: SalesVerse 2.0 commercial summary</t>
        </is>
      </c>
    </row>
    <row r="2">
      <c r="A2" s="2" t="inlineStr">
        <is>
          <t>iorta TechNXT, proposal to Insurans Islam Family Takaful Sendirian Berhad, October 2026</t>
        </is>
      </c>
    </row>
    <row r="3">
      <c r="A3" s="3" t="inlineStr">
        <is>
          <t>Client</t>
        </is>
      </c>
      <c r="C3" s="4" t="inlineStr">
        <is>
          <t>Insurans Islam Family Takaful Sendirian Berhad</t>
        </is>
      </c>
    </row>
    <row r="4">
      <c r="A4" s="3" t="inlineStr">
        <is>
          <t>Bidder</t>
        </is>
      </c>
      <c r="C4" s="4" t="inlineStr">
        <is>
          <t>iorta TechNXT</t>
        </is>
      </c>
    </row>
    <row r="5">
      <c r="A5" s="3" t="inlineStr">
        <is>
          <t>Currency</t>
        </is>
      </c>
      <c r="C5" s="4" t="inlineStr">
        <is>
          <t>Brunei Dollar (B$)</t>
        </is>
      </c>
    </row>
    <row r="6">
      <c r="A6" s="3" t="inlineStr">
        <is>
          <t>Indicative FX (B$ per USD 1)</t>
        </is>
      </c>
      <c r="C6" s="5" t="n">
        <v>1.3</v>
      </c>
    </row>
    <row r="8">
      <c r="A8" s="6" t="inlineStr">
        <is>
          <t>A. One-time implementation fee (fixed price)</t>
        </is>
      </c>
    </row>
    <row r="9">
      <c r="A9" s="7" t="inlineStr">
        <is>
          <t>Description</t>
        </is>
      </c>
      <c r="B9" s="7" t="inlineStr">
        <is>
          <t>Fee (B$)</t>
        </is>
      </c>
      <c r="C9" s="7" t="inlineStr">
        <is>
          <t>Fee (USD)</t>
        </is>
      </c>
      <c r="D9" s="7" t="inlineStr">
        <is>
          <t>WHT</t>
        </is>
      </c>
      <c r="E9" s="7" t="inlineStr">
        <is>
          <t>OPE</t>
        </is>
      </c>
      <c r="F9" s="7" t="inlineStr">
        <is>
          <t>Total (B$)</t>
        </is>
      </c>
      <c r="G9" s="7" t="inlineStr">
        <is>
          <t>Total (USD)</t>
        </is>
      </c>
    </row>
    <row r="10">
      <c r="A10" s="8" t="inlineStr">
        <is>
          <t>Agent/Banca Portal</t>
        </is>
      </c>
      <c r="B10" s="9">
        <f>'One-time breakdown'!D16</f>
        <v/>
      </c>
      <c r="C10" s="9">
        <f>ROUND(B10/'Summary (RFP format)'!$C$6,0)</f>
        <v/>
      </c>
      <c r="D10" s="8" t="inlineStr">
        <is>
          <t>Inclusive</t>
        </is>
      </c>
      <c r="E10" s="8" t="inlineStr">
        <is>
          <t>Included</t>
        </is>
      </c>
      <c r="F10" s="9">
        <f>B10</f>
        <v/>
      </c>
      <c r="G10" s="9">
        <f>ROUND(F10/'Summary (RFP format)'!$C$6,0)</f>
        <v/>
      </c>
    </row>
    <row r="11">
      <c r="A11" s="8" t="inlineStr">
        <is>
          <t>Back-office solution</t>
        </is>
      </c>
      <c r="B11" s="9">
        <f>'One-time breakdown'!E16</f>
        <v/>
      </c>
      <c r="C11" s="9">
        <f>ROUND(B11/'Summary (RFP format)'!$C$6,0)</f>
        <v/>
      </c>
      <c r="D11" s="8" t="inlineStr">
        <is>
          <t>Inclusive</t>
        </is>
      </c>
      <c r="E11" s="8" t="inlineStr">
        <is>
          <t>Included</t>
        </is>
      </c>
      <c r="F11" s="9">
        <f>B11</f>
        <v/>
      </c>
      <c r="G11" s="9">
        <f>ROUND(F11/'Summary (RFP format)'!$C$6,0)</f>
        <v/>
      </c>
    </row>
    <row r="12">
      <c r="A12" s="10" t="inlineStr">
        <is>
          <t>Total one-time fee</t>
        </is>
      </c>
      <c r="B12" s="11">
        <f>SUM(B10:B11)</f>
        <v/>
      </c>
      <c r="C12" s="11">
        <f>ROUND(B12/'Summary (RFP format)'!$C$6,0)</f>
        <v/>
      </c>
      <c r="D12" s="10" t="inlineStr">
        <is>
          <t>Inclusive</t>
        </is>
      </c>
      <c r="E12" s="10" t="inlineStr">
        <is>
          <t>Included</t>
        </is>
      </c>
      <c r="F12" s="11">
        <f>SUM(F10:F11)</f>
        <v/>
      </c>
      <c r="G12" s="11">
        <f>ROUND(F12/'Summary (RFP format)'!$C$6,0)</f>
        <v/>
      </c>
    </row>
    <row r="14">
      <c r="A14" s="6" t="inlineStr">
        <is>
          <t>B. Annual maintenance &amp; support fee (Years 1–5, flat)</t>
        </is>
      </c>
    </row>
    <row r="15">
      <c r="A15" s="7" t="inlineStr">
        <is>
          <t>Description</t>
        </is>
      </c>
      <c r="B15" s="7" t="inlineStr">
        <is>
          <t>Fee (B$)</t>
        </is>
      </c>
      <c r="C15" s="7" t="inlineStr">
        <is>
          <t>Fee (USD)</t>
        </is>
      </c>
      <c r="D15" s="7" t="inlineStr">
        <is>
          <t>WHT</t>
        </is>
      </c>
      <c r="E15" s="7" t="inlineStr">
        <is>
          <t>OPE</t>
        </is>
      </c>
      <c r="F15" s="7" t="inlineStr">
        <is>
          <t>Total (B$)</t>
        </is>
      </c>
      <c r="G15" s="7" t="inlineStr">
        <is>
          <t>Total (USD)</t>
        </is>
      </c>
    </row>
    <row r="16">
      <c r="A16" s="8" t="inlineStr">
        <is>
          <t>Agent/Banca Portal</t>
        </is>
      </c>
      <c r="B16" s="9">
        <f>'Maintenance 5 years'!D6</f>
        <v/>
      </c>
      <c r="C16" s="9">
        <f>ROUND(B16/'Summary (RFP format)'!$C$6,0)</f>
        <v/>
      </c>
      <c r="D16" s="8" t="inlineStr">
        <is>
          <t>Inclusive</t>
        </is>
      </c>
      <c r="E16" s="8" t="inlineStr">
        <is>
          <t>Included</t>
        </is>
      </c>
      <c r="F16" s="9">
        <f>B16</f>
        <v/>
      </c>
      <c r="G16" s="9">
        <f>ROUND(F16/'Summary (RFP format)'!$C$6,0)</f>
        <v/>
      </c>
    </row>
    <row r="17">
      <c r="A17" s="8" t="inlineStr">
        <is>
          <t>Back-office solution</t>
        </is>
      </c>
      <c r="B17" s="9">
        <f>'Maintenance 5 years'!E6</f>
        <v/>
      </c>
      <c r="C17" s="9">
        <f>ROUND(B17/'Summary (RFP format)'!$C$6,0)</f>
        <v/>
      </c>
      <c r="D17" s="8" t="inlineStr">
        <is>
          <t>Inclusive</t>
        </is>
      </c>
      <c r="E17" s="8" t="inlineStr">
        <is>
          <t>Included</t>
        </is>
      </c>
      <c r="F17" s="9">
        <f>B17</f>
        <v/>
      </c>
      <c r="G17" s="9">
        <f>ROUND(F17/'Summary (RFP format)'!$C$6,0)</f>
        <v/>
      </c>
    </row>
    <row r="18">
      <c r="A18" s="10" t="inlineStr">
        <is>
          <t>Total per year</t>
        </is>
      </c>
      <c r="B18" s="11">
        <f>SUM(B16:B17)</f>
        <v/>
      </c>
      <c r="C18" s="11">
        <f>ROUND(B18/'Summary (RFP format)'!$C$6,0)</f>
        <v/>
      </c>
      <c r="D18" s="10" t="inlineStr">
        <is>
          <t>Inclusive</t>
        </is>
      </c>
      <c r="E18" s="10" t="inlineStr">
        <is>
          <t>Included</t>
        </is>
      </c>
      <c r="F18" s="11">
        <f>SUM(F16:F17)</f>
        <v/>
      </c>
      <c r="G18" s="11">
        <f>ROUND(F18/'Summary (RFP format)'!$C$6,0)</f>
        <v/>
      </c>
    </row>
    <row r="20">
      <c r="A20" s="6" t="inlineStr">
        <is>
          <t>C. Five-year total cost of ownership</t>
        </is>
      </c>
    </row>
    <row r="21">
      <c r="A21" s="7" t="inlineStr">
        <is>
          <t>Cost element</t>
        </is>
      </c>
      <c r="B21" s="7" t="inlineStr">
        <is>
          <t>Option A: on-premise (B$)</t>
        </is>
      </c>
      <c r="C21" s="7" t="inlineStr">
        <is>
          <t>Option A (USD)</t>
        </is>
      </c>
      <c r="D21" s="7" t="inlineStr"/>
      <c r="E21" s="7" t="inlineStr"/>
      <c r="F21" s="7" t="inlineStr">
        <is>
          <t>Option B: cloud (B$)</t>
        </is>
      </c>
      <c r="G21" s="7" t="inlineStr">
        <is>
          <t>Option B (USD)</t>
        </is>
      </c>
    </row>
    <row r="22">
      <c r="A22" s="8" t="inlineStr">
        <is>
          <t>One-time implementation</t>
        </is>
      </c>
      <c r="B22" s="9">
        <f>B12</f>
        <v/>
      </c>
      <c r="C22" s="9">
        <f>ROUND(B22/'Summary (RFP format)'!$C$6,0)</f>
        <v/>
      </c>
      <c r="D22" s="8" t="inlineStr"/>
      <c r="E22" s="8" t="inlineStr"/>
      <c r="F22" s="9">
        <f>B12</f>
        <v/>
      </c>
      <c r="G22" s="9">
        <f>ROUND(F22/'Summary (RFP format)'!$C$6,0)</f>
        <v/>
      </c>
    </row>
    <row r="23">
      <c r="A23" s="8" t="inlineStr">
        <is>
          <t>Software licence (5 years)</t>
        </is>
      </c>
      <c r="B23" s="9" t="n">
        <v>0</v>
      </c>
      <c r="C23" s="9">
        <f>ROUND(B23/'Summary (RFP format)'!$C$6,0)</f>
        <v/>
      </c>
      <c r="D23" s="8" t="inlineStr"/>
      <c r="E23" s="8" t="inlineStr"/>
      <c r="F23" s="9" t="n">
        <v>0</v>
      </c>
      <c r="G23" s="9">
        <f>ROUND(F23/'Summary (RFP format)'!$C$6,0)</f>
        <v/>
      </c>
    </row>
    <row r="24">
      <c r="A24" s="8" t="inlineStr">
        <is>
          <t>Maintenance &amp; support (5 years)</t>
        </is>
      </c>
      <c r="B24" s="9">
        <f>'Maintenance 5 years'!F11</f>
        <v/>
      </c>
      <c r="C24" s="9">
        <f>ROUND(B24/'Summary (RFP format)'!$C$6,0)</f>
        <v/>
      </c>
      <c r="D24" s="8" t="inlineStr"/>
      <c r="E24" s="8" t="inlineStr"/>
      <c r="F24" s="9">
        <f>'Maintenance 5 years'!F11</f>
        <v/>
      </c>
      <c r="G24" s="9">
        <f>ROUND(F24/'Summary (RFP format)'!$C$6,0)</f>
        <v/>
      </c>
    </row>
    <row r="25">
      <c r="A25" s="8" t="inlineStr">
        <is>
          <t>Cloud infrastructure pass-through (5 years)</t>
        </is>
      </c>
      <c r="B25" s="9" t="n">
        <v>0</v>
      </c>
      <c r="C25" s="9">
        <f>ROUND(B25/'Summary (RFP format)'!$C$6,0)</f>
        <v/>
      </c>
      <c r="D25" s="8" t="inlineStr"/>
      <c r="E25" s="8" t="inlineStr"/>
      <c r="F25" s="9">
        <f>5*'3rd-party &amp; infra (indicative)'!D13</f>
        <v/>
      </c>
      <c r="G25" s="9">
        <f>ROUND(F25/'Summary (RFP format)'!$C$6,0)</f>
        <v/>
      </c>
    </row>
    <row r="26">
      <c r="A26" s="8" t="inlineStr">
        <is>
          <t>Managed cloud operations (5 years)</t>
        </is>
      </c>
      <c r="B26" s="9" t="n">
        <v>0</v>
      </c>
      <c r="C26" s="9">
        <f>ROUND(B26/'Summary (RFP format)'!$C$6,0)</f>
        <v/>
      </c>
      <c r="D26" s="8" t="inlineStr"/>
      <c r="E26" s="8" t="inlineStr"/>
      <c r="F26" s="9">
        <f>5*'3rd-party &amp; infra (indicative)'!D14</f>
        <v/>
      </c>
      <c r="G26" s="9">
        <f>ROUND(F26/'Summary (RFP format)'!$C$6,0)</f>
        <v/>
      </c>
    </row>
    <row r="27">
      <c r="A27" s="10" t="inlineStr">
        <is>
          <t>Five-year TCO</t>
        </is>
      </c>
      <c r="B27" s="11">
        <f>SUM(B22:B26)</f>
        <v/>
      </c>
      <c r="C27" s="11">
        <f>ROUND(B27/'Summary (RFP format)'!$C$6,0)</f>
        <v/>
      </c>
      <c r="D27" s="10" t="inlineStr"/>
      <c r="E27" s="10" t="inlineStr"/>
      <c r="F27" s="11">
        <f>SUM(F22:F26)</f>
        <v/>
      </c>
      <c r="G27" s="11">
        <f>ROUND(F27/'Summary (RFP format)'!$C$6,0)</f>
        <v/>
      </c>
    </row>
    <row r="29" ht="16" customHeight="1">
      <c r="A29" s="12" t="inlineStr">
        <is>
          <t>WHT inclusive: fees are quoted gross; any Brunei withholding tax deducted by IIFT is borne by iorta TechNXT.</t>
        </is>
      </c>
    </row>
    <row r="30" ht="16" customHeight="1">
      <c r="A30" s="12" t="inlineStr">
        <is>
          <t>OPE included: travel and subsistence for the 4 planned onsite visits are included.</t>
        </is>
      </c>
    </row>
    <row r="31" ht="16" customHeight="1">
      <c r="A31" s="12" t="inlineStr">
        <is>
          <t>Third-party charges excluded: SMS, AML data subscription, SSL certificates, e-mail relay and infrastructure, at cost.</t>
        </is>
      </c>
    </row>
    <row r="32" ht="16" customHeight="1">
      <c r="A32" s="12" t="inlineStr">
        <is>
          <t>Both fee lines are modules of SalesVerse 2.0: Agent/Banca Portal (SalesVerse 2.0) and Back-office solution (SalesVerse 2.0).</t>
        </is>
      </c>
    </row>
    <row r="33" ht="16" customHeight="1">
      <c r="A33" s="12" t="inlineStr">
        <is>
          <t>SalesVerse 2.0 licence bundled at B$ 0: perpetual, royalty-free, enterprise-wide, unlimited users. The core platform remains iorta TechNXT IP; source code of the deployed solution is delivered; escrow optional.</t>
        </is>
      </c>
    </row>
    <row r="34" ht="16" customHeight="1">
      <c r="A34" s="12" t="inlineStr">
        <is>
          <t>USD figures are indicative and rounded per cell; the B$ amounts are binding.</t>
        </is>
      </c>
    </row>
    <row r="35" ht="16" customHeight="1">
      <c r="A35" s="12" t="inlineStr">
        <is>
          <t>Quotation validity: 90 days from submission.</t>
        </is>
      </c>
    </row>
  </sheetData>
  <mergeCells count="7">
    <mergeCell ref="A32:G32"/>
    <mergeCell ref="A31:G31"/>
    <mergeCell ref="A34:G34"/>
    <mergeCell ref="A35:G35"/>
    <mergeCell ref="A30:G30"/>
    <mergeCell ref="A29:G29"/>
    <mergeCell ref="A33:G33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58220"/>
    <outlinePr summaryBelow="1" summaryRight="1"/>
    <pageSetUpPr/>
  </sheetPr>
  <dimension ref="A1:H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15" customWidth="1" min="3" max="3"/>
    <col width="18" customWidth="1" min="4" max="4"/>
    <col width="16" customWidth="1" min="5" max="5"/>
    <col width="14" customWidth="1" min="6" max="6"/>
    <col width="34" customWidth="1" min="7" max="7"/>
    <col width="60" customWidth="1" min="8" max="8"/>
  </cols>
  <sheetData>
    <row r="1">
      <c r="A1" s="1" t="inlineStr">
        <is>
          <t>Commercial pricing breakdown, RFP section 10 (items 1–21)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No</t>
        </is>
      </c>
      <c r="B4" s="7" t="inlineStr">
        <is>
          <t>Commercial component</t>
        </is>
      </c>
      <c r="C4" s="7" t="inlineStr">
        <is>
          <t>Pricing basis</t>
        </is>
      </c>
      <c r="D4" s="7" t="inlineStr">
        <is>
          <t>Agent/Banca Portal (B$)</t>
        </is>
      </c>
      <c r="E4" s="7" t="inlineStr">
        <is>
          <t>Back-office (B$)</t>
        </is>
      </c>
      <c r="F4" s="7" t="inlineStr">
        <is>
          <t>Total (B$)</t>
        </is>
      </c>
      <c r="G4" s="7" t="inlineStr">
        <is>
          <t>Rate / treatment</t>
        </is>
      </c>
      <c r="H4" s="7" t="inlineStr">
        <is>
          <t>Remarks</t>
        </is>
      </c>
    </row>
    <row r="5">
      <c r="A5" s="8" t="n">
        <v>1</v>
      </c>
      <c r="B5" s="8" t="inlineStr">
        <is>
          <t>SalesVerse 2.0 software licence (Agent/Banca Portal and Back-office)</t>
        </is>
      </c>
      <c r="C5" s="8" t="inlineStr">
        <is>
          <t>One-off</t>
        </is>
      </c>
      <c r="D5" s="9" t="n">
        <v>0</v>
      </c>
      <c r="E5" s="9" t="n">
        <v>0</v>
      </c>
      <c r="F5" s="9">
        <f>D5+E5</f>
        <v/>
      </c>
      <c r="G5" s="8" t="inlineStr"/>
      <c r="H5" s="8" t="inlineStr">
        <is>
          <t>Bundled at B$0. Perpetual, royalty-free, enterprise-wide licence for unlimited users; source code of the deployed solution delivered. No per-user or renewal fees.</t>
        </is>
      </c>
    </row>
    <row r="6">
      <c r="A6" s="8" t="n">
        <v>2</v>
      </c>
      <c r="B6" s="8" t="inlineStr">
        <is>
          <t>Implementation (project management, business analysis, design, configuration, development, deployment)</t>
        </is>
      </c>
      <c r="C6" s="8" t="inlineStr">
        <is>
          <t>One-off</t>
        </is>
      </c>
      <c r="D6" s="9" t="n">
        <v>56000</v>
      </c>
      <c r="E6" s="9" t="n">
        <v>44000</v>
      </c>
      <c r="F6" s="9">
        <f>D6+E6</f>
        <v/>
      </c>
      <c r="G6" s="8" t="inlineStr"/>
      <c r="H6" s="8" t="inlineStr">
        <is>
          <t>Fixed price for the full functional scope in RFP section 4 and Appendix 3.</t>
        </is>
      </c>
    </row>
    <row r="7">
      <c r="A7" s="8" t="n">
        <v>3</v>
      </c>
      <c r="B7" s="8" t="inlineStr">
        <is>
          <t>Integration (per interface; see integration breakdown)</t>
        </is>
      </c>
      <c r="C7" s="8" t="inlineStr">
        <is>
          <t>Per interface</t>
        </is>
      </c>
      <c r="D7" s="9" t="n">
        <v>17500</v>
      </c>
      <c r="E7" s="9" t="n">
        <v>13000</v>
      </c>
      <c r="F7" s="9">
        <f>D7+E7</f>
        <v/>
      </c>
      <c r="G7" s="8" t="inlineStr"/>
      <c r="H7" s="8" t="inlineStr">
        <is>
          <t>Core system, FIN, AML screening, LDAP/AD, SMS gateway and Email/SMTP.</t>
        </is>
      </c>
    </row>
    <row r="8">
      <c r="A8" s="8" t="n">
        <v>4</v>
      </c>
      <c r="B8" s="8" t="inlineStr">
        <is>
          <t>Data migration</t>
        </is>
      </c>
      <c r="C8" s="8" t="inlineStr">
        <is>
          <t>One-off</t>
        </is>
      </c>
      <c r="D8" s="9" t="n">
        <v>3000</v>
      </c>
      <c r="E8" s="9" t="n">
        <v>4500</v>
      </c>
      <c r="F8" s="9">
        <f>D8+E8</f>
        <v/>
      </c>
      <c r="G8" s="8" t="inlineStr"/>
      <c r="H8" s="8" t="inlineStr">
        <is>
          <t>Extraction support, transformation, cleansing, two dry runs, load and reconciliation of agreed agent, agency, bank and participant data.</t>
        </is>
      </c>
    </row>
    <row r="9">
      <c r="A9" s="8" t="n">
        <v>5</v>
      </c>
      <c r="B9" s="8" t="inlineStr">
        <is>
          <t>Infrastructure / cloud</t>
        </is>
      </c>
      <c r="C9" s="8" t="inlineStr">
        <is>
          <t>Annual</t>
        </is>
      </c>
      <c r="D9" s="9" t="n"/>
      <c r="E9" s="9" t="n"/>
      <c r="F9" s="9" t="n"/>
      <c r="G9" s="8" t="inlineStr">
        <is>
          <t>On-premise (recommended): B$ 0, IIFT/IITH-provided</t>
        </is>
      </c>
      <c r="H9" s="8" t="inlineStr">
        <is>
          <t>Optional cloud hosting: approx. B$ 11,400 per year pass-through plus B$ 4,800 per year managed cloud operations. Not included in totals.</t>
        </is>
      </c>
    </row>
    <row r="10">
      <c r="A10" s="8" t="n">
        <v>6</v>
      </c>
      <c r="B10" s="8" t="inlineStr">
        <is>
          <t>Database</t>
        </is>
      </c>
      <c r="C10" s="8" t="inlineStr">
        <is>
          <t>Annual</t>
        </is>
      </c>
      <c r="D10" s="9" t="n"/>
      <c r="E10" s="9" t="n"/>
      <c r="F10" s="9" t="n"/>
      <c r="G10" s="8" t="inlineStr">
        <is>
          <t>B$ 0: PostgreSQL community edition, no licence fee</t>
        </is>
      </c>
      <c r="H10" s="8" t="inlineStr">
        <is>
          <t>Optional commercial PostgreSQL support available at cost if IIFT requires it.</t>
        </is>
      </c>
    </row>
    <row r="11">
      <c r="A11" s="8" t="n">
        <v>7</v>
      </c>
      <c r="B11" s="8" t="inlineStr">
        <is>
          <t>Security (independent VAPT and re-test)</t>
        </is>
      </c>
      <c r="C11" s="8" t="inlineStr">
        <is>
          <t>One-off</t>
        </is>
      </c>
      <c r="D11" s="9" t="n">
        <v>4500</v>
      </c>
      <c r="E11" s="9" t="n">
        <v>4000</v>
      </c>
      <c r="F11" s="9">
        <f>D11+E11</f>
        <v/>
      </c>
      <c r="G11" s="8" t="inlineStr"/>
      <c r="H11" s="8" t="inlineStr">
        <is>
          <t>Independent vulnerability assessment and penetration test before go-live, remediation and re-test.</t>
        </is>
      </c>
    </row>
    <row r="12">
      <c r="A12" s="8" t="n">
        <v>8</v>
      </c>
      <c r="B12" s="8" t="inlineStr">
        <is>
          <t>Testing (SIT, performance, regression, UAT support)</t>
        </is>
      </c>
      <c r="C12" s="8" t="inlineStr">
        <is>
          <t>One-off</t>
        </is>
      </c>
      <c r="D12" s="9" t="n">
        <v>5500</v>
      </c>
      <c r="E12" s="9" t="n">
        <v>4500</v>
      </c>
      <c r="F12" s="9">
        <f>D12+E12</f>
        <v/>
      </c>
      <c r="G12" s="8" t="inlineStr"/>
      <c r="H12" s="8" t="inlineStr">
        <is>
          <t>Test strategy, SIT cases and execution, performance test, automated regression suite, UAT support and defect fixing.</t>
        </is>
      </c>
    </row>
    <row r="13">
      <c r="A13" s="8" t="n">
        <v>9</v>
      </c>
      <c r="B13" s="8" t="inlineStr">
        <is>
          <t>Training</t>
        </is>
      </c>
      <c r="C13" s="8" t="inlineStr">
        <is>
          <t>One-off</t>
        </is>
      </c>
      <c r="D13" s="9" t="n">
        <v>2500</v>
      </c>
      <c r="E13" s="9" t="n">
        <v>2000</v>
      </c>
      <c r="F13" s="9">
        <f>D13+E13</f>
        <v/>
      </c>
      <c r="G13" s="8" t="inlineStr"/>
      <c r="H13" s="8" t="inlineStr">
        <is>
          <t>End-user, administrator and technical training including materials.</t>
        </is>
      </c>
    </row>
    <row r="14">
      <c r="A14" s="8" t="n">
        <v>10</v>
      </c>
      <c r="B14" s="8" t="inlineStr">
        <is>
          <t>Documentation</t>
        </is>
      </c>
      <c r="C14" s="8" t="inlineStr">
        <is>
          <t>One-off</t>
        </is>
      </c>
      <c r="D14" s="9" t="n">
        <v>2500</v>
      </c>
      <c r="E14" s="9" t="n">
        <v>2500</v>
      </c>
      <c r="F14" s="9">
        <f>D14+E14</f>
        <v/>
      </c>
      <c r="G14" s="8" t="inlineStr"/>
      <c r="H14" s="8" t="inlineStr">
        <is>
          <t>User, administrator, technical and operations manuals; maintained throughout the contract.</t>
        </is>
      </c>
    </row>
    <row r="15">
      <c r="A15" s="8" t="n">
        <v>11</v>
      </c>
      <c r="B15" s="8" t="inlineStr">
        <is>
          <t>Warranty (6 months from go-live)</t>
        </is>
      </c>
      <c r="C15" s="8" t="inlineStr">
        <is>
          <t>Included</t>
        </is>
      </c>
      <c r="D15" s="9" t="n">
        <v>0</v>
      </c>
      <c r="E15" s="9" t="n">
        <v>0</v>
      </c>
      <c r="F15" s="9">
        <f>D15+E15</f>
        <v/>
      </c>
      <c r="G15" s="8" t="inlineStr">
        <is>
          <t>Included</t>
        </is>
      </c>
      <c r="H15" s="8" t="inlineStr">
        <is>
          <t>Defect correction at no charge for 6 months after go-live.</t>
        </is>
      </c>
    </row>
    <row r="16">
      <c r="A16" s="10" t="inlineStr"/>
      <c r="B16" s="10" t="inlineStr">
        <is>
          <t>Subtotal one-time (items 1–11)</t>
        </is>
      </c>
      <c r="C16" s="10" t="inlineStr">
        <is>
          <t>One-off</t>
        </is>
      </c>
      <c r="D16" s="11">
        <f>SUM(D5:D15)</f>
        <v/>
      </c>
      <c r="E16" s="11">
        <f>SUM(E5:E15)</f>
        <v/>
      </c>
      <c r="F16" s="11">
        <f>SUM(F5:F15)</f>
        <v/>
      </c>
      <c r="G16" s="10" t="inlineStr">
        <is>
          <t>Fixed price; WHT inclusive; planned OPE included</t>
        </is>
      </c>
      <c r="H16" s="10" t="inlineStr"/>
    </row>
    <row r="17">
      <c r="A17" s="8" t="n">
        <v>12</v>
      </c>
      <c r="B17" s="8" t="inlineStr">
        <is>
          <t>Year 1 maintenance: Stabilisation &amp; Hypercare</t>
        </is>
      </c>
      <c r="C17" s="8" t="inlineStr">
        <is>
          <t>Annual</t>
        </is>
      </c>
      <c r="D17" s="9" t="n">
        <v>11900</v>
      </c>
      <c r="E17" s="9" t="n">
        <v>9700</v>
      </c>
      <c r="F17" s="9">
        <f>D17+E17</f>
        <v/>
      </c>
      <c r="G17" s="8" t="inlineStr"/>
      <c r="H17" s="8" t="inlineStr">
        <is>
          <t>Intensive post-go-live support, defect resolution, performance tuning, monitoring and stabilisation of integrations.</t>
        </is>
      </c>
    </row>
    <row r="18">
      <c r="A18" s="8" t="n">
        <v>13</v>
      </c>
      <c r="B18" s="8" t="inlineStr">
        <is>
          <t>Year 2 maintenance: Operational Support</t>
        </is>
      </c>
      <c r="C18" s="8" t="inlineStr">
        <is>
          <t>Annual</t>
        </is>
      </c>
      <c r="D18" s="9" t="n">
        <v>11900</v>
      </c>
      <c r="E18" s="9" t="n">
        <v>9700</v>
      </c>
      <c r="F18" s="9">
        <f>D18+E18</f>
        <v/>
      </c>
      <c r="G18" s="8" t="inlineStr"/>
      <c r="H18" s="8" t="inlineStr">
        <is>
          <t>BAU incident management, preventive maintenance, security patches, performance monitoring and minor enhancements.</t>
        </is>
      </c>
    </row>
    <row r="19">
      <c r="A19" s="8" t="n">
        <v>14</v>
      </c>
      <c r="B19" s="8" t="inlineStr">
        <is>
          <t>Year 3 maintenance: Optimisation</t>
        </is>
      </c>
      <c r="C19" s="8" t="inlineStr">
        <is>
          <t>Annual</t>
        </is>
      </c>
      <c r="D19" s="9" t="n">
        <v>11900</v>
      </c>
      <c r="E19" s="9" t="n">
        <v>9700</v>
      </c>
      <c r="F19" s="9">
        <f>D19+E19</f>
        <v/>
      </c>
      <c r="G19" s="8" t="inlineStr"/>
      <c r="H19" s="8" t="inlineStr">
        <is>
          <t>System optimisation, reporting improvements, integration improvements and technology review.</t>
        </is>
      </c>
    </row>
    <row r="20">
      <c r="A20" s="8" t="n">
        <v>15</v>
      </c>
      <c r="B20" s="8" t="inlineStr">
        <is>
          <t>Year 4 maintenance: Technology Refresh</t>
        </is>
      </c>
      <c r="C20" s="8" t="inlineStr">
        <is>
          <t>Annual</t>
        </is>
      </c>
      <c r="D20" s="9" t="n">
        <v>11900</v>
      </c>
      <c r="E20" s="9" t="n">
        <v>9700</v>
      </c>
      <c r="F20" s="9">
        <f>D20+E20</f>
        <v/>
      </c>
      <c r="G20" s="8" t="inlineStr"/>
      <c r="H20" s="8" t="inlineStr">
        <is>
          <t>Platform compatibility review, security hardening, version upgrades and capacity assessment.</t>
        </is>
      </c>
    </row>
    <row r="21">
      <c r="A21" s="8" t="n">
        <v>16</v>
      </c>
      <c r="B21" s="8" t="inlineStr">
        <is>
          <t>Year 5 maintenance: Sustainability &amp; Transition</t>
        </is>
      </c>
      <c r="C21" s="8" t="inlineStr">
        <is>
          <t>Annual</t>
        </is>
      </c>
      <c r="D21" s="9" t="n">
        <v>11900</v>
      </c>
      <c r="E21" s="9" t="n">
        <v>9700</v>
      </c>
      <c r="F21" s="9">
        <f>D21+E21</f>
        <v/>
      </c>
      <c r="G21" s="8" t="inlineStr"/>
      <c r="H21" s="8" t="inlineStr">
        <is>
          <t>Comprehensive health assessment, documentation refresh, knowledge transfer, technology roadmap and exit/renewal preparation.</t>
        </is>
      </c>
    </row>
    <row r="22">
      <c r="A22" s="10" t="inlineStr"/>
      <c r="B22" s="10" t="inlineStr">
        <is>
          <t>Subtotal maintenance Years 1–5 (items 12–16)</t>
        </is>
      </c>
      <c r="C22" s="10" t="inlineStr">
        <is>
          <t>Annual</t>
        </is>
      </c>
      <c r="D22" s="11">
        <f>SUM(D17:D21)</f>
        <v/>
      </c>
      <c r="E22" s="11">
        <f>SUM(E17:E21)</f>
        <v/>
      </c>
      <c r="F22" s="11">
        <f>SUM(F17:F21)</f>
        <v/>
      </c>
      <c r="G22" s="10" t="inlineStr">
        <is>
          <t>Flat, 0% escalation</t>
        </is>
      </c>
      <c r="H22" s="10" t="inlineStr"/>
    </row>
    <row r="23">
      <c r="A23" s="8" t="n">
        <v>17</v>
      </c>
      <c r="B23" s="8" t="inlineStr">
        <is>
          <t>Enhancements and change requests</t>
        </is>
      </c>
      <c r="C23" s="8" t="inlineStr">
        <is>
          <t>Per man-day / per hour</t>
        </is>
      </c>
      <c r="D23" s="9" t="n"/>
      <c r="E23" s="9" t="n"/>
      <c r="F23" s="9" t="n"/>
      <c r="G23" s="8" t="inlineStr">
        <is>
          <t>B$ 680 per man-day; B$ 90 per hour</t>
        </is>
      </c>
      <c r="H23" s="8" t="inlineStr">
        <is>
          <t>Blended rate for all roles; quoted per change request after impact assessment.</t>
        </is>
      </c>
    </row>
    <row r="24">
      <c r="A24" s="8" t="n">
        <v>18</v>
      </c>
      <c r="B24" s="8" t="inlineStr">
        <is>
          <t>Onsite support (unplanned visits)</t>
        </is>
      </c>
      <c r="C24" s="8" t="inlineStr">
        <is>
          <t>Per day</t>
        </is>
      </c>
      <c r="D24" s="9" t="n"/>
      <c r="E24" s="9" t="n"/>
      <c r="F24" s="9" t="n"/>
      <c r="G24" s="8" t="inlineStr">
        <is>
          <t>B$ 850 per day + travel at cost</t>
        </is>
      </c>
      <c r="H24" s="8" t="inlineStr">
        <is>
          <t>4 planned visits are already included in the fixed price.</t>
        </is>
      </c>
    </row>
    <row r="25">
      <c r="A25" s="8" t="n">
        <v>19</v>
      </c>
      <c r="B25" s="8" t="inlineStr">
        <is>
          <t>After-hours support</t>
        </is>
      </c>
      <c r="C25" s="8" t="inlineStr">
        <is>
          <t>Per hour / Included</t>
        </is>
      </c>
      <c r="D25" s="9" t="n"/>
      <c r="E25" s="9" t="n"/>
      <c r="F25" s="9" t="n"/>
      <c r="G25" s="8" t="inlineStr">
        <is>
          <t>P1 (Critical): included; other after-hours work: B$ 120 per hour</t>
        </is>
      </c>
      <c r="H25" s="8" t="inlineStr">
        <is>
          <t>After-hours work other than P1 is performed only on IIFT request.</t>
        </is>
      </c>
    </row>
    <row r="26">
      <c r="A26" s="8" t="n">
        <v>20</v>
      </c>
      <c r="B26" s="8" t="inlineStr">
        <is>
          <t>Third-party charges</t>
        </is>
      </c>
      <c r="C26" s="8" t="inlineStr">
        <is>
          <t>Annual / usage</t>
        </is>
      </c>
      <c r="D26" s="9" t="n"/>
      <c r="E26" s="9" t="n"/>
      <c r="F26" s="9" t="n"/>
      <c r="G26" s="8" t="inlineStr">
        <is>
          <t>Excluded; payable at cost</t>
        </is>
      </c>
      <c r="H26" s="8" t="inlineStr">
        <is>
          <t>SMS messages, AML data subscription, SSL certificates, email relay; see third-party schedule.</t>
        </is>
      </c>
    </row>
    <row r="27">
      <c r="A27" s="8" t="n">
        <v>21</v>
      </c>
      <c r="B27" s="8" t="inlineStr">
        <is>
          <t>Exit / transition</t>
        </is>
      </c>
      <c r="C27" s="8" t="inlineStr">
        <is>
          <t>Included</t>
        </is>
      </c>
      <c r="D27" s="9" t="n"/>
      <c r="E27" s="9" t="n"/>
      <c r="F27" s="9" t="n"/>
      <c r="G27" s="8" t="inlineStr">
        <is>
          <t>Included in Year 5 maintenance</t>
        </is>
      </c>
      <c r="H27" s="8" t="inlineStr">
        <is>
          <t>Knowledge transfer, data extraction and technical handover at contract end.</t>
        </is>
      </c>
    </row>
    <row r="29" ht="30" customHeight="1">
      <c r="A29" s="12" t="inlineStr">
        <is>
          <t>Integration (item 3) is itemised per interface on the 'Integration per interface' sheet. Infrastructure, database and third-party items (5, 6, 20) are not part of iorta's fees under the recommended on-premise option.</t>
        </is>
      </c>
    </row>
  </sheetData>
  <mergeCells count="1">
    <mergeCell ref="A29:H29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58220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  <col width="22" customWidth="1" min="3" max="3"/>
    <col width="18" customWidth="1" min="4" max="4"/>
    <col width="14" customWidth="1" min="5" max="5"/>
  </cols>
  <sheetData>
    <row r="1">
      <c r="A1" s="1" t="inlineStr">
        <is>
          <t>Integration cost per interface (RFP section 10 item 3, COM-05)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Interface</t>
        </is>
      </c>
      <c r="B4" s="7" t="inlineStr">
        <is>
          <t>Scope</t>
        </is>
      </c>
      <c r="C4" s="7" t="inlineStr">
        <is>
          <t>Agent/Banca Portal (B$)</t>
        </is>
      </c>
      <c r="D4" s="7" t="inlineStr">
        <is>
          <t>Back-office (B$)</t>
        </is>
      </c>
      <c r="E4" s="7" t="inlineStr">
        <is>
          <t>Total (B$)</t>
        </is>
      </c>
    </row>
    <row r="5">
      <c r="A5" s="8" t="inlineStr">
        <is>
          <t>Core system</t>
        </is>
      </c>
      <c r="B5" s="8" t="inlineStr">
        <is>
          <t>Agent, agency, bank and policy master synchronisation; agent information exchange</t>
        </is>
      </c>
      <c r="C5" s="9" t="n">
        <v>4250</v>
      </c>
      <c r="D5" s="9" t="n">
        <v>4250</v>
      </c>
      <c r="E5" s="9">
        <f>C5+D5</f>
        <v/>
      </c>
    </row>
    <row r="6">
      <c r="A6" s="13" t="inlineStr">
        <is>
          <t>Financial system (FIN)</t>
        </is>
      </c>
      <c r="B6" s="13" t="inlineStr">
        <is>
          <t>End-of-day postings, receipts, commission / referral fee information, BRR reconciliation</t>
        </is>
      </c>
      <c r="C6" s="14" t="n">
        <v>4250</v>
      </c>
      <c r="D6" s="14" t="n">
        <v>4250</v>
      </c>
      <c r="E6" s="14">
        <f>C6+D6</f>
        <v/>
      </c>
    </row>
    <row r="7">
      <c r="A7" s="8" t="inlineStr">
        <is>
          <t>AML screening service</t>
        </is>
      </c>
      <c r="B7" s="8" t="inlineStr">
        <is>
          <t>Participant and agent screening, result capture, re-screening</t>
        </is>
      </c>
      <c r="C7" s="9" t="n">
        <v>2500</v>
      </c>
      <c r="D7" s="9" t="n">
        <v>2500</v>
      </c>
      <c r="E7" s="9">
        <f>C7+D7</f>
        <v/>
      </c>
    </row>
    <row r="8">
      <c r="A8" s="13" t="inlineStr">
        <is>
          <t>LDAP / Active Directory</t>
        </is>
      </c>
      <c r="B8" s="13" t="inlineStr">
        <is>
          <t>Single sign-on for back-office users; optional directory look-up for portal administration</t>
        </is>
      </c>
      <c r="C8" s="14" t="n">
        <v>2000</v>
      </c>
      <c r="D8" s="14" t="n">
        <v>2000</v>
      </c>
      <c r="E8" s="14">
        <f>C8+D8</f>
        <v/>
      </c>
    </row>
    <row r="9">
      <c r="A9" s="8" t="inlineStr">
        <is>
          <t>SMS gateway</t>
        </is>
      </c>
      <c r="B9" s="8" t="inlineStr">
        <is>
          <t>OTP and alert delivery through IIFT-approved SMS provider</t>
        </is>
      </c>
      <c r="C9" s="9" t="n">
        <v>2500</v>
      </c>
      <c r="D9" s="9" t="n">
        <v>0</v>
      </c>
      <c r="E9" s="9">
        <f>C9+D9</f>
        <v/>
      </c>
    </row>
    <row r="10">
      <c r="A10" s="13" t="inlineStr">
        <is>
          <t>Email / SMTP relay</t>
        </is>
      </c>
      <c r="B10" s="13" t="inlineStr">
        <is>
          <t>Notification and document e-mail delivery through IIFT mail relay</t>
        </is>
      </c>
      <c r="C10" s="14" t="n">
        <v>2000</v>
      </c>
      <c r="D10" s="14" t="n">
        <v>0</v>
      </c>
      <c r="E10" s="14">
        <f>C10+D10</f>
        <v/>
      </c>
    </row>
    <row r="11">
      <c r="A11" s="10" t="inlineStr">
        <is>
          <t>Total integration</t>
        </is>
      </c>
      <c r="B11" s="10" t="inlineStr"/>
      <c r="C11" s="11">
        <f>SUM(C5:C10)</f>
        <v/>
      </c>
      <c r="D11" s="11">
        <f>SUM(D5:D10)</f>
        <v/>
      </c>
      <c r="E11" s="11">
        <f>SUM(E5:E10)</f>
        <v/>
      </c>
    </row>
  </sheetData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58220"/>
    <outlinePr summaryBelow="1" summaryRight="1"/>
    <pageSetUpPr/>
  </sheetPr>
  <dimension ref="A1:G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22" customWidth="1" min="4" max="4"/>
    <col width="18" customWidth="1" min="5" max="5"/>
    <col width="14" customWidth="1" min="6" max="6"/>
    <col width="16" customWidth="1" min="7" max="7"/>
  </cols>
  <sheetData>
    <row r="1">
      <c r="A1" s="1" t="inlineStr">
        <is>
          <t>Five-year maintenance &amp; support (RFP sections 8 and 9)</t>
        </is>
      </c>
    </row>
    <row r="2">
      <c r="A2" s="2" t="inlineStr">
        <is>
          <t>iorta TechNXT, proposal to Insurans Islam Family Takaful Sendirian Berhad, October 2026</t>
        </is>
      </c>
    </row>
    <row r="3">
      <c r="A3" s="3" t="inlineStr">
        <is>
          <t>Annual escalation</t>
        </is>
      </c>
      <c r="C3" s="15" t="n">
        <v>0</v>
      </c>
    </row>
    <row r="5">
      <c r="A5" s="7" t="inlineStr">
        <is>
          <t>Year</t>
        </is>
      </c>
      <c r="B5" s="7" t="inlineStr">
        <is>
          <t>Focus</t>
        </is>
      </c>
      <c r="C5" s="7" t="inlineStr">
        <is>
          <t>Activities</t>
        </is>
      </c>
      <c r="D5" s="7" t="inlineStr">
        <is>
          <t>Agent/Banca Portal (B$)</t>
        </is>
      </c>
      <c r="E5" s="7" t="inlineStr">
        <is>
          <t>Back-office (B$)</t>
        </is>
      </c>
      <c r="F5" s="7" t="inlineStr">
        <is>
          <t>Total (B$)</t>
        </is>
      </c>
      <c r="G5" s="7" t="inlineStr">
        <is>
          <t>Cumulative (B$)</t>
        </is>
      </c>
    </row>
    <row r="6">
      <c r="A6" s="8" t="inlineStr">
        <is>
          <t>Year 1</t>
        </is>
      </c>
      <c r="B6" s="8" t="inlineStr">
        <is>
          <t>Stabilisation &amp; Hypercare</t>
        </is>
      </c>
      <c r="C6" s="8" t="inlineStr">
        <is>
          <t>Intensive post-go-live support, defect resolution, performance tuning, monitoring and stabilisation of integrations.</t>
        </is>
      </c>
      <c r="D6" s="9">
        <f>ROUND(11900*(1+$C$3)^0,0)</f>
        <v/>
      </c>
      <c r="E6" s="9">
        <f>ROUND(9700*(1+$C$3)^0,0)</f>
        <v/>
      </c>
      <c r="F6" s="9">
        <f>D6+E6</f>
        <v/>
      </c>
      <c r="G6" s="9">
        <f>SUM($F$6:F6)</f>
        <v/>
      </c>
    </row>
    <row r="7">
      <c r="A7" s="13" t="inlineStr">
        <is>
          <t>Year 2</t>
        </is>
      </c>
      <c r="B7" s="13" t="inlineStr">
        <is>
          <t>Operational Support</t>
        </is>
      </c>
      <c r="C7" s="13" t="inlineStr">
        <is>
          <t>BAU incident management, preventive maintenance, security patches, performance monitoring and minor enhancements.</t>
        </is>
      </c>
      <c r="D7" s="14">
        <f>ROUND(11900*(1+$C$3)^1,0)</f>
        <v/>
      </c>
      <c r="E7" s="14">
        <f>ROUND(9700*(1+$C$3)^1,0)</f>
        <v/>
      </c>
      <c r="F7" s="14">
        <f>D7+E7</f>
        <v/>
      </c>
      <c r="G7" s="14">
        <f>SUM($F$6:F7)</f>
        <v/>
      </c>
    </row>
    <row r="8">
      <c r="A8" s="8" t="inlineStr">
        <is>
          <t>Year 3</t>
        </is>
      </c>
      <c r="B8" s="8" t="inlineStr">
        <is>
          <t>Optimisation</t>
        </is>
      </c>
      <c r="C8" s="8" t="inlineStr">
        <is>
          <t>System optimisation, reporting improvements, integration improvements and technology review.</t>
        </is>
      </c>
      <c r="D8" s="9">
        <f>ROUND(11900*(1+$C$3)^2,0)</f>
        <v/>
      </c>
      <c r="E8" s="9">
        <f>ROUND(9700*(1+$C$3)^2,0)</f>
        <v/>
      </c>
      <c r="F8" s="9">
        <f>D8+E8</f>
        <v/>
      </c>
      <c r="G8" s="9">
        <f>SUM($F$6:F8)</f>
        <v/>
      </c>
    </row>
    <row r="9">
      <c r="A9" s="13" t="inlineStr">
        <is>
          <t>Year 4</t>
        </is>
      </c>
      <c r="B9" s="13" t="inlineStr">
        <is>
          <t>Technology Refresh</t>
        </is>
      </c>
      <c r="C9" s="13" t="inlineStr">
        <is>
          <t>Platform compatibility review, security hardening, version upgrades and capacity assessment.</t>
        </is>
      </c>
      <c r="D9" s="14">
        <f>ROUND(11900*(1+$C$3)^3,0)</f>
        <v/>
      </c>
      <c r="E9" s="14">
        <f>ROUND(9700*(1+$C$3)^3,0)</f>
        <v/>
      </c>
      <c r="F9" s="14">
        <f>D9+E9</f>
        <v/>
      </c>
      <c r="G9" s="14">
        <f>SUM($F$6:F9)</f>
        <v/>
      </c>
    </row>
    <row r="10">
      <c r="A10" s="8" t="inlineStr">
        <is>
          <t>Year 5</t>
        </is>
      </c>
      <c r="B10" s="8" t="inlineStr">
        <is>
          <t>Sustainability &amp; Transition</t>
        </is>
      </c>
      <c r="C10" s="8" t="inlineStr">
        <is>
          <t>Comprehensive health assessment, documentation refresh, knowledge transfer, technology roadmap and exit/renewal preparation.</t>
        </is>
      </c>
      <c r="D10" s="9">
        <f>ROUND(11900*(1+$C$3)^4,0)</f>
        <v/>
      </c>
      <c r="E10" s="9">
        <f>ROUND(9700*(1+$C$3)^4,0)</f>
        <v/>
      </c>
      <c r="F10" s="9">
        <f>D10+E10</f>
        <v/>
      </c>
      <c r="G10" s="9">
        <f>SUM($F$6:F10)</f>
        <v/>
      </c>
    </row>
    <row r="11">
      <c r="A11" s="10" t="inlineStr">
        <is>
          <t>Total</t>
        </is>
      </c>
      <c r="B11" s="10" t="inlineStr">
        <is>
          <t>Five years</t>
        </is>
      </c>
      <c r="C11" s="10" t="inlineStr"/>
      <c r="D11" s="11">
        <f>SUM(D6:D10)</f>
        <v/>
      </c>
      <c r="E11" s="11">
        <f>SUM(E6:E10)</f>
        <v/>
      </c>
      <c r="F11" s="11">
        <f>SUM(F6:F10)</f>
        <v/>
      </c>
      <c r="G11" s="10" t="inlineStr"/>
    </row>
    <row r="13">
      <c r="A13" s="6" t="inlineStr">
        <is>
          <t>Included in the annual fee</t>
        </is>
      </c>
    </row>
    <row r="14">
      <c r="A14" s="4" t="inlineStr">
        <is>
          <t>• Helpdesk during IIFT business hours with 24x7 coverage for P1 (Critical) incidents</t>
        </is>
      </c>
    </row>
    <row r="15">
      <c r="A15" s="4" t="inlineStr">
        <is>
          <t>• Incident, problem and service request management against the agreed SLA</t>
        </is>
      </c>
    </row>
    <row r="16">
      <c r="A16" s="4" t="inlineStr">
        <is>
          <t>• Corrective and preventive maintenance; defect fixing</t>
        </is>
      </c>
    </row>
    <row r="17">
      <c r="A17" s="4" t="inlineStr">
        <is>
          <t>• Security patches, dependency updates and vulnerability remediation</t>
        </is>
      </c>
    </row>
    <row r="18">
      <c r="A18" s="4" t="inlineStr">
        <is>
          <t>• Platform and version upgrades (Node.js, PostgreSQL, frameworks) within the supported lifecycle, including SalesVerse 2.0 platform updates</t>
        </is>
      </c>
    </row>
    <row r="19">
      <c r="A19" s="4" t="inlineStr">
        <is>
          <t>• 60 hours per year of minor enhancements</t>
        </is>
      </c>
    </row>
    <row r="20">
      <c r="A20" s="4" t="inlineStr">
        <is>
          <t>• Monthly service report and quarterly service review</t>
        </is>
      </c>
    </row>
    <row r="21">
      <c r="A21" s="4" t="inlineStr">
        <is>
          <t>• Backup verification and annual DR test participation</t>
        </is>
      </c>
    </row>
    <row r="22">
      <c r="A22" s="4" t="inlineStr">
        <is>
          <t>• Documentation updates and ongoing knowledge transfer</t>
        </is>
      </c>
    </row>
    <row r="23">
      <c r="A23" s="4" t="inlineStr">
        <is>
          <t>• Exit and transition support in Year 5</t>
        </is>
      </c>
    </row>
    <row r="25" ht="30" customHeight="1">
      <c r="A25" s="12" t="inlineStr">
        <is>
          <t>Billing: Quarterly in advance, from go-live. Warranty: 6 months from go-live (defects corrected free of charge); Year 1 maintenance starts at go-live.</t>
        </is>
      </c>
    </row>
  </sheetData>
  <mergeCells count="1">
    <mergeCell ref="A25:G25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58220"/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70" customWidth="1" min="4" max="4"/>
  </cols>
  <sheetData>
    <row r="1">
      <c r="A1" s="1" t="inlineStr">
        <is>
          <t>Rate card (RFP section 10 items 17–19, 21; COM-16)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Item</t>
        </is>
      </c>
      <c r="B4" s="7" t="inlineStr">
        <is>
          <t>Unit</t>
        </is>
      </c>
      <c r="C4" s="7" t="inlineStr">
        <is>
          <t>Rate (B$)</t>
        </is>
      </c>
      <c r="D4" s="7" t="inlineStr">
        <is>
          <t>Notes</t>
        </is>
      </c>
    </row>
    <row r="5">
      <c r="A5" s="8" t="inlineStr">
        <is>
          <t>Enhancements / change requests</t>
        </is>
      </c>
      <c r="B5" s="8" t="inlineStr">
        <is>
          <t>Per man-day</t>
        </is>
      </c>
      <c r="C5" s="9" t="n">
        <v>680</v>
      </c>
      <c r="D5" s="8" t="inlineStr">
        <is>
          <t>60 hours per year included in maintenance</t>
        </is>
      </c>
    </row>
    <row r="6">
      <c r="A6" s="13" t="inlineStr">
        <is>
          <t>Enhancements / change requests</t>
        </is>
      </c>
      <c r="B6" s="13" t="inlineStr">
        <is>
          <t>Per hour</t>
        </is>
      </c>
      <c r="C6" s="14" t="n">
        <v>90</v>
      </c>
      <c r="D6" s="13" t="inlineStr">
        <is>
          <t>Blended rate, all roles</t>
        </is>
      </c>
    </row>
    <row r="7">
      <c r="A7" s="8" t="inlineStr">
        <is>
          <t>Onsite support, unplanned</t>
        </is>
      </c>
      <c r="B7" s="8" t="inlineStr">
        <is>
          <t>Per day</t>
        </is>
      </c>
      <c r="C7" s="9" t="n">
        <v>850</v>
      </c>
      <c r="D7" s="8" t="inlineStr">
        <is>
          <t>Plus travel at cost; 4 planned visits included in the fixed price</t>
        </is>
      </c>
    </row>
    <row r="8">
      <c r="A8" s="13" t="inlineStr">
        <is>
          <t>After-hours support, P1 Critical</t>
        </is>
      </c>
      <c r="B8" s="13" t="inlineStr">
        <is>
          <t>Per incident</t>
        </is>
      </c>
      <c r="C8" s="14" t="n">
        <v>0</v>
      </c>
      <c r="D8" s="13" t="inlineStr">
        <is>
          <t>Included</t>
        </is>
      </c>
    </row>
    <row r="9">
      <c r="A9" s="8" t="inlineStr">
        <is>
          <t>After-hours support, other</t>
        </is>
      </c>
      <c r="B9" s="8" t="inlineStr">
        <is>
          <t>Per hour</t>
        </is>
      </c>
      <c r="C9" s="9" t="n">
        <v>120</v>
      </c>
      <c r="D9" s="8" t="inlineStr">
        <is>
          <t>Only at IIFT's request</t>
        </is>
      </c>
    </row>
    <row r="10">
      <c r="A10" s="13" t="inlineStr">
        <is>
          <t>Exit / transition</t>
        </is>
      </c>
      <c r="B10" s="13" t="inlineStr">
        <is>
          <t>Fixed</t>
        </is>
      </c>
      <c r="C10" s="14" t="n">
        <v>0</v>
      </c>
      <c r="D10" s="13" t="inlineStr">
        <is>
          <t>Included in Year 5 maintenance</t>
        </is>
      </c>
    </row>
  </sheetData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58220"/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0" customWidth="1" min="3" max="3"/>
    <col width="16" customWidth="1" min="4" max="4"/>
    <col width="22" customWidth="1" min="5" max="5"/>
  </cols>
  <sheetData>
    <row r="1">
      <c r="A1" s="1" t="inlineStr">
        <is>
          <t>Payment milestones, one-time fee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Milestone</t>
        </is>
      </c>
      <c r="B4" s="7" t="inlineStr">
        <is>
          <t>Payment trigger</t>
        </is>
      </c>
      <c r="C4" s="7" t="inlineStr">
        <is>
          <t>Share</t>
        </is>
      </c>
      <c r="D4" s="7" t="inlineStr">
        <is>
          <t>Amount (B$)</t>
        </is>
      </c>
      <c r="E4" s="7" t="inlineStr">
        <is>
          <t>Amount (USD, indicative)</t>
        </is>
      </c>
    </row>
    <row r="5">
      <c r="A5" s="8" t="inlineStr">
        <is>
          <t>M1</t>
        </is>
      </c>
      <c r="B5" s="8" t="inlineStr">
        <is>
          <t>Contract signing and project kick-off</t>
        </is>
      </c>
      <c r="C5" s="16" t="n">
        <v>0.15</v>
      </c>
      <c r="D5" s="9">
        <f>ROUND(C5*'One-time breakdown'!F16,0)</f>
        <v/>
      </c>
      <c r="E5" s="9">
        <f>ROUND(D5/'Summary (RFP format)'!$C$6,0)</f>
        <v/>
      </c>
    </row>
    <row r="6">
      <c r="A6" s="13" t="inlineStr">
        <is>
          <t>M2</t>
        </is>
      </c>
      <c r="B6" s="13" t="inlineStr">
        <is>
          <t>Design sign-off (BRS, FRS, SAD, TDD, UI/UX, interface specification)</t>
        </is>
      </c>
      <c r="C6" s="17" t="n">
        <v>0.15</v>
      </c>
      <c r="D6" s="14">
        <f>ROUND(C6*'One-time breakdown'!F16,0)</f>
        <v/>
      </c>
      <c r="E6" s="14">
        <f>ROUND(D6/'Summary (RFP format)'!$C$6,0)</f>
        <v/>
      </c>
    </row>
    <row r="7">
      <c r="A7" s="8" t="inlineStr">
        <is>
          <t>M4</t>
        </is>
      </c>
      <c r="B7" s="8" t="inlineStr">
        <is>
          <t>SIT exit and security clearance (VAPT remediated)</t>
        </is>
      </c>
      <c r="C7" s="16" t="n">
        <v>0.25</v>
      </c>
      <c r="D7" s="9">
        <f>ROUND(C7*'One-time breakdown'!F16,0)</f>
        <v/>
      </c>
      <c r="E7" s="9">
        <f>ROUND(D7/'Summary (RFP format)'!$C$6,0)</f>
        <v/>
      </c>
    </row>
    <row r="8">
      <c r="A8" s="13" t="inlineStr">
        <is>
          <t>M5</t>
        </is>
      </c>
      <c r="B8" s="13" t="inlineStr">
        <is>
          <t>UAT sign-off</t>
        </is>
      </c>
      <c r="C8" s="17" t="n">
        <v>0.25</v>
      </c>
      <c r="D8" s="14">
        <f>ROUND(C8*'One-time breakdown'!F16,0)</f>
        <v/>
      </c>
      <c r="E8" s="14">
        <f>ROUND(D8/'Summary (RFP format)'!$C$6,0)</f>
        <v/>
      </c>
    </row>
    <row r="9">
      <c r="A9" s="8" t="inlineStr">
        <is>
          <t>M6</t>
        </is>
      </c>
      <c r="B9" s="8" t="inlineStr">
        <is>
          <t>Production go-live</t>
        </is>
      </c>
      <c r="C9" s="16" t="n">
        <v>0.15</v>
      </c>
      <c r="D9" s="9">
        <f>ROUND(C9*'One-time breakdown'!F16,0)</f>
        <v/>
      </c>
      <c r="E9" s="9">
        <f>ROUND(D9/'Summary (RFP format)'!$C$6,0)</f>
        <v/>
      </c>
    </row>
    <row r="10">
      <c r="A10" s="13" t="inlineStr">
        <is>
          <t>M7</t>
        </is>
      </c>
      <c r="B10" s="13" t="inlineStr">
        <is>
          <t>Hypercare exit and project closure</t>
        </is>
      </c>
      <c r="C10" s="17" t="n">
        <v>0.05</v>
      </c>
      <c r="D10" s="14">
        <f>ROUND(C10*'One-time breakdown'!F16,0)</f>
        <v/>
      </c>
      <c r="E10" s="14">
        <f>ROUND(D10/'Summary (RFP format)'!$C$6,0)</f>
        <v/>
      </c>
    </row>
    <row r="11">
      <c r="A11" s="10" t="inlineStr">
        <is>
          <t>Total</t>
        </is>
      </c>
      <c r="B11" s="10" t="inlineStr"/>
      <c r="C11" s="18">
        <f>SUM(C5:C10)</f>
        <v/>
      </c>
      <c r="D11" s="11">
        <f>SUM(D5:D10)</f>
        <v/>
      </c>
      <c r="E11" s="11">
        <f>ROUND(D11/'Summary (RFP format)'!$C$6,0)</f>
        <v/>
      </c>
    </row>
    <row r="13" ht="30" customHeight="1">
      <c r="A13" s="12" t="inlineStr">
        <is>
          <t>Invoices payable within 30 days. Maintenance: quarterly in advance, from go-live (B$ 5,400 per quarter).</t>
        </is>
      </c>
    </row>
  </sheetData>
  <mergeCells count="1">
    <mergeCell ref="A13:E13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58220"/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40" customWidth="1" min="2" max="2"/>
    <col width="30" customWidth="1" min="3" max="3"/>
    <col width="48" customWidth="1" min="4" max="4"/>
  </cols>
  <sheetData>
    <row r="1">
      <c r="A1" s="1" t="inlineStr">
        <is>
          <t>Optional cloud hosting and third-party charges (indicative, excluded from iorta fees)</t>
        </is>
      </c>
    </row>
    <row r="2">
      <c r="A2" s="2" t="inlineStr">
        <is>
          <t>iorta TechNXT, proposal to Insurans Islam Family Takaful Sendirian Berhad, October 2026</t>
        </is>
      </c>
    </row>
    <row r="3">
      <c r="A3" s="6" t="inlineStr">
        <is>
          <t>Option B: cloud hosting (AWS Singapore / Azure Southeast Asia), pass-through at cost</t>
        </is>
      </c>
    </row>
    <row r="4">
      <c r="A4" s="7" t="inlineStr">
        <is>
          <t>Service</t>
        </is>
      </c>
      <c r="B4" s="7" t="inlineStr">
        <is>
          <t>Purpose</t>
        </is>
      </c>
      <c r="C4" s="7" t="inlineStr">
        <is>
          <t>B$ per month</t>
        </is>
      </c>
      <c r="D4" s="7" t="inlineStr">
        <is>
          <t>B$ per year</t>
        </is>
      </c>
    </row>
    <row r="5">
      <c r="A5" s="8" t="inlineStr">
        <is>
          <t>Container compute (2 tasks across 2 availability zones)</t>
        </is>
      </c>
      <c r="B5" s="8" t="inlineStr">
        <is>
          <t>Portal, back-office and API</t>
        </is>
      </c>
      <c r="C5" s="9" t="n">
        <v>180</v>
      </c>
      <c r="D5" s="9">
        <f>C5*12</f>
        <v/>
      </c>
    </row>
    <row r="6">
      <c r="A6" s="13" t="inlineStr">
        <is>
          <t>Managed PostgreSQL, Multi-AZ, with storage and automated backups</t>
        </is>
      </c>
      <c r="B6" s="13" t="inlineStr">
        <is>
          <t>Database and PITR</t>
        </is>
      </c>
      <c r="C6" s="14" t="n">
        <v>330</v>
      </c>
      <c r="D6" s="14">
        <f>C6*12</f>
        <v/>
      </c>
    </row>
    <row r="7">
      <c r="A7" s="8" t="inlineStr">
        <is>
          <t>Application load balancer and web application firewall</t>
        </is>
      </c>
      <c r="B7" s="8" t="inlineStr">
        <is>
          <t>TLS termination, OWASP rules</t>
        </is>
      </c>
      <c r="C7" s="9" t="n">
        <v>120</v>
      </c>
      <c r="D7" s="9">
        <f>C7*12</f>
        <v/>
      </c>
    </row>
    <row r="8">
      <c r="A8" s="13" t="inlineStr">
        <is>
          <t>NAT gateway and data transfer</t>
        </is>
      </c>
      <c r="B8" s="13" t="inlineStr">
        <is>
          <t>Outbound integration and updates</t>
        </is>
      </c>
      <c r="C8" s="14" t="n">
        <v>120</v>
      </c>
      <c r="D8" s="14">
        <f>C8*12</f>
        <v/>
      </c>
    </row>
    <row r="9">
      <c r="A9" s="8" t="inlineStr">
        <is>
          <t>Object storage (SSE-KMS) and cross-region snapshot copy</t>
        </is>
      </c>
      <c r="B9" s="8" t="inlineStr">
        <is>
          <t>Documents, backups, DR copies</t>
        </is>
      </c>
      <c r="C9" s="9" t="n">
        <v>60</v>
      </c>
      <c r="D9" s="9">
        <f>C9*12</f>
        <v/>
      </c>
    </row>
    <row r="10">
      <c r="A10" s="13" t="inlineStr">
        <is>
          <t>Logging, metrics and alarms</t>
        </is>
      </c>
      <c r="B10" s="13" t="inlineStr">
        <is>
          <t>Monitoring and alerting</t>
        </is>
      </c>
      <c r="C10" s="14" t="n">
        <v>60</v>
      </c>
      <c r="D10" s="14">
        <f>C10*12</f>
        <v/>
      </c>
    </row>
    <row r="11">
      <c r="A11" s="8" t="inlineStr">
        <is>
          <t>Secrets and key management</t>
        </is>
      </c>
      <c r="B11" s="8" t="inlineStr">
        <is>
          <t>Credentials and encryption keys</t>
        </is>
      </c>
      <c r="C11" s="9" t="n">
        <v>20</v>
      </c>
      <c r="D11" s="9">
        <f>C11*12</f>
        <v/>
      </c>
    </row>
    <row r="12">
      <c r="A12" s="13" t="inlineStr">
        <is>
          <t>Scaled-down UAT environment</t>
        </is>
      </c>
      <c r="B12" s="13" t="inlineStr">
        <is>
          <t>Non-production testing</t>
        </is>
      </c>
      <c r="C12" s="14" t="n">
        <v>60</v>
      </c>
      <c r="D12" s="14">
        <f>C12*12</f>
        <v/>
      </c>
    </row>
    <row r="13">
      <c r="A13" s="10" t="inlineStr">
        <is>
          <t>Cloud infrastructure total</t>
        </is>
      </c>
      <c r="B13" s="10" t="inlineStr"/>
      <c r="C13" s="11">
        <f>SUM(C5:C12)</f>
        <v/>
      </c>
      <c r="D13" s="11">
        <f>SUM(D5:D12)</f>
        <v/>
      </c>
    </row>
    <row r="14">
      <c r="A14" s="8" t="inlineStr">
        <is>
          <t>Managed cloud operations by iorta (optional)</t>
        </is>
      </c>
      <c r="B14" s="8" t="inlineStr">
        <is>
          <t>Patching, monitoring, backups, cost management</t>
        </is>
      </c>
      <c r="C14" s="9">
        <f>ROUND(D14/12,0)</f>
        <v/>
      </c>
      <c r="D14" s="9" t="n">
        <v>4800</v>
      </c>
    </row>
    <row r="15">
      <c r="A15" s="10" t="inlineStr">
        <is>
          <t>Option B annual total</t>
        </is>
      </c>
      <c r="B15" s="10" t="inlineStr"/>
      <c r="C15" s="10" t="inlineStr"/>
      <c r="D15" s="11">
        <f>D13+D14</f>
        <v/>
      </c>
    </row>
    <row r="17">
      <c r="A17" s="3" t="inlineStr">
        <is>
          <t>Option A: on-premise (recommended). B$ 0 hosting from iorta; servers, OS, network and DR site provided by IIFT/IITH.</t>
        </is>
      </c>
    </row>
    <row r="19">
      <c r="A19" s="6" t="inlineStr">
        <is>
          <t>Third-party charges: excluded, payable at cost (COM-17)</t>
        </is>
      </c>
    </row>
    <row r="20">
      <c r="A20" s="7" t="inlineStr">
        <is>
          <t>Item</t>
        </is>
      </c>
      <c r="B20" s="7" t="inlineStr">
        <is>
          <t>Basis</t>
        </is>
      </c>
      <c r="C20" s="7" t="inlineStr">
        <is>
          <t>Provider / note</t>
        </is>
      </c>
      <c r="D20" s="7" t="inlineStr">
        <is>
          <t>Indicative amount</t>
        </is>
      </c>
    </row>
    <row r="21">
      <c r="A21" s="8" t="inlineStr">
        <is>
          <t>SMS messages</t>
        </is>
      </c>
      <c r="B21" s="8" t="inlineStr">
        <is>
          <t>Per message</t>
        </is>
      </c>
      <c r="C21" s="8" t="inlineStr">
        <is>
          <t>IIFT-approved SMS gateway or telco tariff</t>
        </is>
      </c>
      <c r="D21" s="8" t="inlineStr">
        <is>
          <t>About B$0.05–0.10 per SMS; roughly B$300–600 a year at expected volumes</t>
        </is>
      </c>
    </row>
    <row r="22">
      <c r="A22" s="13" t="inlineStr">
        <is>
          <t>AML screening data subscription</t>
        </is>
      </c>
      <c r="B22" s="13" t="inlineStr">
        <is>
          <t>Annual / usage</t>
        </is>
      </c>
      <c r="C22" s="13" t="inlineStr">
        <is>
          <t>IIFT's existing or chosen screening list provider</t>
        </is>
      </c>
      <c r="D22" s="13" t="inlineStr">
        <is>
          <t>B$0 if IIFT's existing service is reused; otherwise from about B$3,000 a year</t>
        </is>
      </c>
    </row>
    <row r="23">
      <c r="A23" s="8" t="inlineStr">
        <is>
          <t>SSL/TLS certificates</t>
        </is>
      </c>
      <c r="B23" s="8" t="inlineStr">
        <is>
          <t>Annual</t>
        </is>
      </c>
      <c r="C23" s="8" t="inlineStr">
        <is>
          <t>IIFT-approved certificate authority</t>
        </is>
      </c>
      <c r="D23" s="8" t="inlineStr">
        <is>
          <t>About B$150–500 a year per certificate</t>
        </is>
      </c>
    </row>
    <row r="24">
      <c r="A24" s="13" t="inlineStr">
        <is>
          <t>Email relay service</t>
        </is>
      </c>
      <c r="B24" s="13" t="inlineStr">
        <is>
          <t>Annual / usage</t>
        </is>
      </c>
      <c r="C24" s="13" t="inlineStr">
        <is>
          <t>IIFT/IITH mail infrastructure</t>
        </is>
      </c>
      <c r="D24" s="13" t="inlineStr">
        <is>
          <t>B$0 with the existing IITH relay</t>
        </is>
      </c>
    </row>
    <row r="25">
      <c r="A25" s="8" t="inlineStr">
        <is>
          <t>Servers, storage, network and OS licences (on-premise)</t>
        </is>
      </c>
      <c r="B25" s="8" t="inlineStr">
        <is>
          <t>One-off / annual</t>
        </is>
      </c>
      <c r="C25" s="8" t="inlineStr">
        <is>
          <t>IIFT/IITH data centre</t>
        </is>
      </c>
      <c r="D25" s="8" t="inlineStr">
        <is>
          <t>Per IITH standard; Linux subscriptions about B$500–1,200 per server a year if RHEL is used, B$0 for Ubuntu</t>
        </is>
      </c>
    </row>
    <row r="26">
      <c r="A26" s="13" t="inlineStr">
        <is>
          <t>Cloud hosting (if Option B is chosen)</t>
        </is>
      </c>
      <c r="B26" s="13" t="inlineStr">
        <is>
          <t>Monthly</t>
        </is>
      </c>
      <c r="C26" s="13" t="inlineStr">
        <is>
          <t>Cloud provider, passed through at cost</t>
        </is>
      </c>
      <c r="D26" s="13" t="inlineStr">
        <is>
          <t>About B$11,400 a year</t>
        </is>
      </c>
    </row>
    <row r="27">
      <c r="A27" s="8" t="inlineStr">
        <is>
          <t>Optional commercial PostgreSQL support</t>
        </is>
      </c>
      <c r="B27" s="8" t="inlineStr">
        <is>
          <t>Annual</t>
        </is>
      </c>
      <c r="C27" s="8" t="inlineStr">
        <is>
          <t>Only if IIFT elects vendor-backed database support</t>
        </is>
      </c>
      <c r="D27" s="8" t="inlineStr">
        <is>
          <t>About B$5,000–10,000 a year</t>
        </is>
      </c>
    </row>
    <row r="28">
      <c r="A28" s="13" t="inlineStr">
        <is>
          <t>Optional PKI digital signature certificates</t>
        </is>
      </c>
      <c r="B28" s="13" t="inlineStr">
        <is>
          <t>Per certificate / annual</t>
        </is>
      </c>
      <c r="C28" s="13" t="inlineStr">
        <is>
          <t>Only if certificate-based signing is required in future</t>
        </is>
      </c>
      <c r="D28" s="13" t="inlineStr">
        <is>
          <t>Quoted by the certificate authority</t>
        </is>
      </c>
    </row>
    <row r="30" ht="30" customHeight="1">
      <c r="A30" s="12" t="inlineStr">
        <is>
          <t>Cloud prices are indicative, vary with usage and exchange rates, and are confirmed before provisioning. Use of cloud is subject to IIFT data-residency approval and AMBD outsourcing / cloud notification.</t>
        </is>
      </c>
    </row>
  </sheetData>
  <mergeCells count="1">
    <mergeCell ref="A30:D30"/>
  </mergeCells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F58220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30" customWidth="1" min="2" max="2"/>
  </cols>
  <sheetData>
    <row r="1">
      <c r="A1" s="1" t="inlineStr">
        <is>
          <t>Commercial assumptions</t>
        </is>
      </c>
    </row>
    <row r="2">
      <c r="A2" s="2" t="inlineStr">
        <is>
          <t>iorta TechNXT, proposal to Insurans Islam Family Takaful Sendirian Berhad, October 2026</t>
        </is>
      </c>
    </row>
    <row r="4">
      <c r="A4" s="7" t="inlineStr">
        <is>
          <t>#</t>
        </is>
      </c>
      <c r="B4" s="7" t="inlineStr">
        <is>
          <t>Assumption</t>
        </is>
      </c>
    </row>
    <row r="5">
      <c r="A5" s="8" t="n">
        <v>1</v>
      </c>
      <c r="B5" s="8" t="inlineStr">
        <is>
          <t>Currency: Brunei Dollars (B$). USD equivalents indicative at USD 1 = B$ 1.30, rounded to the nearest dollar; B$ figures are binding.</t>
        </is>
      </c>
    </row>
    <row r="6">
      <c r="A6" s="13" t="n">
        <v>2</v>
      </c>
      <c r="B6" s="13" t="inlineStr">
        <is>
          <t>Withholding tax (WHT): Inclusive; fees quoted gross; any Brunei WHT deducted by IIFT is borne by iorta TechNXT.</t>
        </is>
      </c>
    </row>
    <row r="7">
      <c r="A7" s="8" t="n">
        <v>3</v>
      </c>
      <c r="B7" s="8" t="inlineStr">
        <is>
          <t>Out-of-pocket expenses (OPE): Included for 4 planned onsite visits (kick-off, design workshop, UAT/training, go-live).</t>
        </is>
      </c>
    </row>
    <row r="8">
      <c r="A8" s="13" t="n">
        <v>4</v>
      </c>
      <c r="B8" s="13" t="inlineStr">
        <is>
          <t>Third-party charges: Excluded; SMS, AML data subscription, SSL certificates, e-mail relay, infrastructure; payable at cost.</t>
        </is>
      </c>
    </row>
    <row r="9">
      <c r="A9" s="8" t="n">
        <v>5</v>
      </c>
      <c r="B9" s="8" t="inlineStr">
        <is>
          <t>SalesVerse 2.0 licence bundled at B$ 0: perpetual, royalty-free, enterprise-wide, unlimited users. The core platform remains iorta TechNXT IP; source code of the deployed solution is delivered; escrow optional.</t>
        </is>
      </c>
    </row>
    <row r="10">
      <c r="A10" s="13" t="n">
        <v>6</v>
      </c>
      <c r="B10" s="13" t="inlineStr">
        <is>
          <t>Implementation is a fixed price for the scope in the proposal; changes follow the change request process at the rate card.</t>
        </is>
      </c>
    </row>
    <row r="11">
      <c r="A11" s="8" t="n">
        <v>7</v>
      </c>
      <c r="B11" s="8" t="inlineStr">
        <is>
          <t>Maintenance: flat for five years (0% escalation), billed quarterly in advance, from go-live.</t>
        </is>
      </c>
    </row>
    <row r="12">
      <c r="A12" s="13" t="n">
        <v>8</v>
      </c>
      <c r="B12" s="13" t="inlineStr">
        <is>
          <t>Warranty: 6 months from go-live, included.</t>
        </is>
      </c>
    </row>
    <row r="13">
      <c r="A13" s="8" t="n">
        <v>9</v>
      </c>
      <c r="B13" s="8" t="inlineStr">
        <is>
          <t>Sizing basis: 26 named users (Appendix 1) and ~628 policies per year (Appendix 2); designed for 100 concurrent / 500 named users without redesign.</t>
        </is>
      </c>
    </row>
    <row r="14">
      <c r="A14" s="13" t="n">
        <v>10</v>
      </c>
      <c r="B14" s="13" t="inlineStr">
        <is>
          <t>Recommended hosting: on-premise in the IIFT/IITH data centre (no hosting charge from iorta). Cloud costs shown are optional and indicative.</t>
        </is>
      </c>
    </row>
    <row r="15">
      <c r="A15" s="8" t="n">
        <v>11</v>
      </c>
      <c r="B15" s="8" t="inlineStr">
        <is>
          <t>Data migration: agent, agency, bank, branch, participant and reference data, estimated below 10,000 records from up to three source extracts.</t>
        </is>
      </c>
    </row>
    <row r="16">
      <c r="A16" s="13" t="n">
        <v>12</v>
      </c>
      <c r="B16" s="13" t="inlineStr">
        <is>
          <t>Quotation validity: 90 days from the date of submission.</t>
        </is>
      </c>
    </row>
  </sheetData>
  <pageMargins left="0.75" right="0.75" top="1" bottom="1" header="0.5" footer="0.5"/>
  <pageSetup orientation="landscape" fitToWidth="1"/>
  <headerFooter>
    <oddHeader/>
    <oddFooter>&amp;CCommercial-in-Confidence |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Proposal for Agent/Banca Portal &amp; Back-office Solution: Commercial Pricing</dc:title>
  <dc:subject xmlns:dc="http://purl.org/dc/elements/1.1/">Commercial proposal to Insurans Islam Family Takaful Sendirian Berhad</dc:subject>
  <dcterms:created xmlns:dcterms="http://purl.org/dc/terms/" xmlns:xsi="http://www.w3.org/2001/XMLSchema-instance" xsi:type="dcterms:W3CDTF">2026-10-02T14:07:25Z</dcterms:created>
  <dcterms:modified xmlns:dcterms="http://purl.org/dc/terms/" xmlns:xsi="http://www.w3.org/2001/XMLSchema-instance" xsi:type="dcterms:W3CDTF">2026-10-02T14:07:25Z</dcterms:modified>
  <cp:lastModifiedBy>iorta TechNXT</cp:lastModifiedBy>
</cp:coreProperties>
</file>